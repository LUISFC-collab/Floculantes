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sheets/sheet23.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9.xml" ContentType="application/vnd.openxmlformats-officedocument.drawing+xml"/>
  <Override PartName="/xl/charts/chart6.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NEL CONTROL" sheetId="1" r:id="rId1"/>
    <sheet name="STAFFING TABULATION CHART" sheetId="2" r:id="rId2"/>
    <sheet name="CONSTRUCTION EQUIPMENT SCHE " sheetId="3" r:id="rId3"/>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7">
    <numFmt numFmtId="43" formatCode="_-* #,##0.00_-;\-* #,##0.00_-;_-* &quot;-&quot;??_-;_-@_-"/>
    <numFmt numFmtId="164" formatCode="_ [$€]* #,##0.00_ ;_ [$€]* \-#,##0.00_ ;_ [$€]* &quot;-&quot;??_ ;_ @_ "/>
    <numFmt numFmtId="165" formatCode="0.00.00"/>
    <numFmt numFmtId="166" formatCode="0.00.00."/>
    <numFmt numFmtId="167" formatCode="#,##0.0000_);\-#,##0.0000"/>
    <numFmt numFmtId="168" formatCode="#,##0.00_);\-#,##0.00"/>
    <numFmt numFmtId="169" formatCode="0.0%"/>
    <numFmt numFmtId="170" formatCode="0.0000"/>
    <numFmt numFmtId="171" formatCode="_(* #,##0.00_);_(* \(#,##0.00\);_(* &quot;-&quot;??_);_(@_)"/>
    <numFmt numFmtId="172" formatCode="_-[$S/-280A]\ * #,##0.00_-;\-[$S/-280A]\ * #,##0.00_-;_-[$S/-280A]\ * &quot;-&quot;??_-;_-@_-"/>
    <numFmt numFmtId="173" formatCode="_-&quot;S/&quot;* #,##0.00_-;\-&quot;S/&quot;* #,##0.00_-;_-&quot;S/&quot;* &quot;-&quot;??_-;_-@_-"/>
    <numFmt numFmtId="174" formatCode="_-[$$-540A]* #,##0.00_ ;_-[$$-540A]* \-#,##0.00\ ;_-[$$-540A]* &quot;-&quot;??_ ;_-@_ "/>
    <numFmt numFmtId="175" formatCode="_ * #,##0.00_ ;_ * \-#,##0.00_ ;_ * &quot;-&quot;??_ ;_ @_ "/>
    <numFmt numFmtId="176" formatCode="[$$-540A]#,##0.00"/>
    <numFmt numFmtId="177" formatCode="&quot;S/&quot;#,##0.00"/>
    <numFmt numFmtId="178" formatCode="_-[$$-409]* #,##0.00_ ;_-[$$-409]* \-#,##0.00\ ;_-[$$-409]* &quot;-&quot;??_ ;_-@_ "/>
    <numFmt numFmtId="179" formatCode="#,##0.0"/>
    <numFmt numFmtId="180" formatCode="_-[$$-45C]* #,##0.00_-;\-[$$-45C]* #,##0.00_-;_-[$$-45C]* &quot;-&quot;??_-;_-@_-"/>
    <numFmt numFmtId="181" formatCode="dd\-mm\-yyyy"/>
    <numFmt numFmtId="182" formatCode="dd\-mmm"/>
    <numFmt numFmtId="183" formatCode="#,##0.00;\(#,##0.00\);\-"/>
    <numFmt numFmtId="184" formatCode="#,##0.0;\(#,##0.0\);\-"/>
    <numFmt numFmtId="185" formatCode="0;;\-"/>
    <numFmt numFmtId="186" formatCode="dd/mm"/>
    <numFmt numFmtId="187" formatCode="#,##0;;"/>
    <numFmt numFmtId="188" formatCode="#,##0;;\-"/>
    <numFmt numFmtId="189" formatCode="[$$-409]#,##0.00"/>
    <numFmt numFmtId="190" formatCode="&quot;S/&quot;#,##0.00;\(&quot;S/&quot;#,##0.00\);\-"/>
    <numFmt numFmtId="191" formatCode="dd/mm/yyyy"/>
    <numFmt numFmtId="192" formatCode="0.0"/>
    <numFmt numFmtId="193" formatCode="&quot;S/.&quot;#,##0.00"/>
    <numFmt numFmtId="194" formatCode="dd\-mm\-yy"/>
    <numFmt numFmtId="195" formatCode="#,##0.0;;\-"/>
    <numFmt numFmtId="196" formatCode="0.0;;\-"/>
    <numFmt numFmtId="197" formatCode="#,##0.00;;\-"/>
    <numFmt numFmtId="198" formatCode="#,##0;[Red]\-#,##0;\-"/>
    <numFmt numFmtId="199" formatCode=";;;"/>
    <numFmt numFmtId="200" formatCode="[$-10C6B]dd/mm/yy;@"/>
    <numFmt numFmtId="201" formatCode="#,##0.00;\(#,##0.00\)"/>
    <numFmt numFmtId="202" formatCode="&quot;S&quot;General\ "/>
    <numFmt numFmtId="203" formatCode="&quot;SEM&quot;\ 0"/>
    <numFmt numFmtId="204" formatCode="&quot;Sem&quot;\ General\ "/>
    <numFmt numFmtId="205" formatCode="0.000"/>
    <numFmt numFmtId="206" formatCode="\ \ &quot;Contractor:   &quot;@"/>
    <numFmt numFmtId="207" formatCode="\ \ @"/>
    <numFmt numFmtId="208" formatCode="dd/mm/yy"/>
    <numFmt numFmtId="209" formatCode="_-[$$-45C]* #,##0_-;\-[$$-45C]* #,##0_-;_-[$$-45C]* &quot;-&quot;_-;_-@_-"/>
    <numFmt numFmtId="210" formatCode="\ &quot;Start =&quot;[$-409]dd\-mmm\-yy;@"/>
    <numFmt numFmtId="211" formatCode="[$-C0A]d\-mmm;@"/>
    <numFmt numFmtId="212" formatCode="_ * #,##0_ ;_ * \-#,##0_ ;_ * &quot;-&quot;??_ ;_ @_ "/>
    <numFmt numFmtId="213" formatCode="&quot;SEMANA&quot;\ 0"/>
    <numFmt numFmtId="214" formatCode="\ &quot;SEMANA&quot;\ General"/>
    <numFmt numFmtId="215" formatCode="dd/mmm/yy"/>
    <numFmt numFmtId="216" formatCode="dd\-mmm\-yyyy;@"/>
    <numFmt numFmtId="217" formatCode="dd\-mmm\-yy;@"/>
    <numFmt numFmtId="218" formatCode="&quot;Sem &quot;0"/>
    <numFmt numFmtId="219" formatCode="0.00%;;\-"/>
  </numFmts>
  <fonts count="257">
    <font>
      <sz val="10"/>
      <name val="Arial"/>
    </font>
    <font>
      <sz val="11"/>
      <color theme="1"/>
      <name val="Calibri"/>
      <family val="2"/>
      <scheme val="minor"/>
    </font>
    <font>
      <sz val="11"/>
      <color theme="1"/>
      <name val="Calibri"/>
      <family val="2"/>
      <scheme val="minor"/>
    </font>
    <font>
      <b/>
      <sz val="10"/>
      <name val="Arial"/>
      <family val="2"/>
    </font>
    <font>
      <sz val="10"/>
      <name val="Arial"/>
      <family val="2"/>
    </font>
    <font>
      <sz val="8"/>
      <name val="Arial"/>
      <family val="2"/>
    </font>
    <font>
      <sz val="12"/>
      <name val="Arial"/>
      <family val="2"/>
    </font>
    <font>
      <sz val="11"/>
      <name val="Arial"/>
      <family val="2"/>
    </font>
    <font>
      <b/>
      <sz val="11"/>
      <name val="Arial"/>
      <family val="2"/>
    </font>
    <font>
      <sz val="9"/>
      <name val="Arial"/>
      <family val="2"/>
    </font>
    <font>
      <sz val="11"/>
      <color indexed="17"/>
      <name val="Calibri"/>
      <family val="2"/>
    </font>
    <font>
      <b/>
      <sz val="11"/>
      <color indexed="9"/>
      <name val="Calibri"/>
      <family val="2"/>
    </font>
    <font>
      <sz val="11"/>
      <color indexed="10"/>
      <name val="Calibri"/>
      <family val="2"/>
    </font>
    <font>
      <b/>
      <sz val="11"/>
      <color indexed="62"/>
      <name val="Calibri"/>
      <family val="2"/>
    </font>
    <font>
      <sz val="11"/>
      <color indexed="62"/>
      <name val="Calibri"/>
      <family val="2"/>
    </font>
    <font>
      <u/>
      <sz val="7.5"/>
      <color indexed="12"/>
      <name val="Arial"/>
      <family val="2"/>
    </font>
    <font>
      <u/>
      <sz val="7.5"/>
      <color indexed="36"/>
      <name val="Arial"/>
      <family val="2"/>
    </font>
    <font>
      <sz val="8"/>
      <name val="Helv"/>
    </font>
    <font>
      <sz val="10"/>
      <name val="Montserrat Medium"/>
    </font>
    <font>
      <b/>
      <sz val="7"/>
      <name val="Montserrat Medium"/>
    </font>
    <font>
      <sz val="7"/>
      <name val="Montserrat Medium"/>
    </font>
    <font>
      <b/>
      <sz val="10"/>
      <name val="Montserrat Medium"/>
    </font>
    <font>
      <b/>
      <sz val="14"/>
      <name val="Montserrat Medium"/>
    </font>
    <font>
      <b/>
      <sz val="16"/>
      <name val="Montserrat Medium"/>
    </font>
    <font>
      <sz val="9"/>
      <name val="Montserrat Medium"/>
    </font>
    <font>
      <sz val="10"/>
      <color theme="0"/>
      <name val="Montserrat Medium"/>
    </font>
    <font>
      <b/>
      <u/>
      <sz val="10"/>
      <color theme="0"/>
      <name val="Montserrat Medium"/>
    </font>
    <font>
      <b/>
      <sz val="7"/>
      <color theme="0"/>
      <name val="Montserrat Medium"/>
    </font>
    <font>
      <sz val="7"/>
      <color theme="0"/>
      <name val="Montserrat Medium"/>
    </font>
    <font>
      <b/>
      <sz val="10"/>
      <color theme="0"/>
      <name val="Montserrat Medium"/>
    </font>
    <font>
      <sz val="7"/>
      <color indexed="8"/>
      <name val="Montserrat Medium"/>
    </font>
    <font>
      <b/>
      <sz val="11"/>
      <color theme="0"/>
      <name val="Montserrat Medium"/>
    </font>
    <font>
      <sz val="10"/>
      <name val="Arial Narrow"/>
      <family val="2"/>
    </font>
    <font>
      <b/>
      <sz val="7"/>
      <color indexed="8"/>
      <name val="Montserrat Medium"/>
    </font>
    <font>
      <b/>
      <sz val="11"/>
      <name val="Arial Narrow"/>
      <family val="2"/>
    </font>
    <font>
      <sz val="8"/>
      <name val="Arial Narrow"/>
      <family val="2"/>
    </font>
    <font>
      <b/>
      <sz val="9"/>
      <color theme="0"/>
      <name val="Montserrat Medium"/>
    </font>
    <font>
      <sz val="12"/>
      <name val="Montserrat Medium"/>
    </font>
    <font>
      <b/>
      <sz val="8"/>
      <color theme="0"/>
      <name val="Montserrat Medium"/>
    </font>
    <font>
      <sz val="6"/>
      <name val="Montserrat Medium"/>
    </font>
    <font>
      <sz val="11"/>
      <name val="Montserrat Medium"/>
    </font>
    <font>
      <sz val="7"/>
      <color rgb="FF000000"/>
      <name val="Montserrat Medium"/>
    </font>
    <font>
      <b/>
      <sz val="6"/>
      <color theme="0"/>
      <name val="Montserrat Medium"/>
    </font>
    <font>
      <sz val="16"/>
      <name val="Montserrat Medium"/>
    </font>
    <font>
      <u/>
      <sz val="16"/>
      <name val="Montserrat Medium"/>
    </font>
    <font>
      <b/>
      <sz val="12"/>
      <name val="Montserrat Medium"/>
    </font>
    <font>
      <b/>
      <sz val="24"/>
      <name val="Arial"/>
      <family val="2"/>
    </font>
    <font>
      <sz val="18"/>
      <name val="Arial"/>
      <family val="2"/>
    </font>
    <font>
      <sz val="8"/>
      <name val="Montserrat Medium"/>
    </font>
    <font>
      <sz val="7"/>
      <name val="Arial Narrow"/>
      <family val="2"/>
    </font>
    <font>
      <sz val="7"/>
      <name val="Arial"/>
      <family val="2"/>
    </font>
    <font>
      <sz val="10"/>
      <color theme="1"/>
      <name val="Arial"/>
      <family val="2"/>
    </font>
    <font>
      <sz val="7"/>
      <color theme="1"/>
      <name val="Montserrat Medium"/>
    </font>
    <font>
      <b/>
      <sz val="10"/>
      <color theme="1"/>
      <name val="Arial"/>
      <family val="2"/>
    </font>
    <font>
      <sz val="7"/>
      <name val="Aptos Narrow"/>
      <family val="2"/>
    </font>
    <font>
      <sz val="8"/>
      <color indexed="8"/>
      <name val="Arial Narrow"/>
      <family val="2"/>
    </font>
    <font>
      <b/>
      <sz val="8"/>
      <color indexed="8"/>
      <name val="Arial Narrow"/>
      <family val="2"/>
    </font>
    <font>
      <sz val="8.0500000000000007"/>
      <color indexed="8"/>
      <name val="Arial Narrow"/>
      <family val="2"/>
    </font>
    <font>
      <b/>
      <sz val="8"/>
      <name val="Arial"/>
      <family val="2"/>
    </font>
    <font>
      <b/>
      <sz val="7"/>
      <name val="Arial Narrow"/>
      <family val="2"/>
    </font>
    <font>
      <sz val="10"/>
      <name val="Arial"/>
      <family val="2"/>
    </font>
    <font>
      <sz val="8"/>
      <color indexed="8"/>
      <name val="Calibri"/>
      <family val="2"/>
    </font>
    <font>
      <u/>
      <sz val="10"/>
      <color theme="10"/>
      <name val="Arial"/>
      <family val="2"/>
    </font>
    <font>
      <b/>
      <sz val="8.5"/>
      <name val="Arial"/>
      <family val="2"/>
    </font>
    <font>
      <sz val="8.5"/>
      <name val="Arial"/>
      <family val="2"/>
    </font>
    <font>
      <sz val="7"/>
      <color indexed="8"/>
      <name val="Arial Narrow"/>
      <family val="2"/>
    </font>
    <font>
      <b/>
      <sz val="11"/>
      <color theme="1"/>
      <name val="Calibri"/>
      <family val="2"/>
      <scheme val="minor"/>
    </font>
    <font>
      <b/>
      <sz val="18"/>
      <color theme="1"/>
      <name val="Arial Rounded MT Bold"/>
      <family val="2"/>
    </font>
    <font>
      <b/>
      <sz val="16"/>
      <name val="Calibri"/>
      <family val="2"/>
      <scheme val="minor"/>
    </font>
    <font>
      <b/>
      <sz val="11"/>
      <color rgb="FFFF0000"/>
      <name val="Calibri"/>
      <family val="2"/>
      <scheme val="minor"/>
    </font>
    <font>
      <b/>
      <sz val="12"/>
      <name val="Arial"/>
      <family val="2"/>
    </font>
    <font>
      <b/>
      <sz val="10"/>
      <name val="Calibri"/>
      <family val="2"/>
      <scheme val="minor"/>
    </font>
    <font>
      <sz val="10"/>
      <name val="Calibri"/>
      <family val="2"/>
      <scheme val="minor"/>
    </font>
    <font>
      <sz val="11"/>
      <name val="Calibri"/>
      <family val="2"/>
      <scheme val="minor"/>
    </font>
    <font>
      <b/>
      <sz val="10"/>
      <color rgb="FFFF0000"/>
      <name val="Calibri"/>
      <family val="2"/>
      <scheme val="minor"/>
    </font>
    <font>
      <b/>
      <sz val="11"/>
      <color rgb="FFFF0000"/>
      <name val="Arial"/>
      <family val="2"/>
    </font>
    <font>
      <b/>
      <sz val="10"/>
      <color rgb="FFFF0000"/>
      <name val="Arial"/>
      <family val="2"/>
    </font>
    <font>
      <b/>
      <sz val="11"/>
      <color rgb="FF3366FF"/>
      <name val="Calibri"/>
      <family val="2"/>
      <scheme val="minor"/>
    </font>
    <font>
      <b/>
      <sz val="10"/>
      <color rgb="FF3366FF"/>
      <name val="Calibri"/>
      <family val="2"/>
      <scheme val="minor"/>
    </font>
    <font>
      <sz val="11"/>
      <color rgb="FFFF0000"/>
      <name val="Calibri"/>
      <family val="2"/>
      <scheme val="minor"/>
    </font>
    <font>
      <b/>
      <sz val="10"/>
      <color rgb="FF0070C0"/>
      <name val="Calibri"/>
      <family val="2"/>
      <scheme val="minor"/>
    </font>
    <font>
      <b/>
      <sz val="9"/>
      <color indexed="81"/>
      <name val="Tahoma"/>
      <family val="2"/>
    </font>
    <font>
      <sz val="9"/>
      <color indexed="81"/>
      <name val="Tahoma"/>
      <family val="2"/>
    </font>
    <font>
      <b/>
      <sz val="11"/>
      <color theme="3" tint="0.39997558519241921"/>
      <name val="Arial"/>
      <family val="2"/>
    </font>
    <font>
      <b/>
      <sz val="11"/>
      <color theme="0"/>
      <name val="Arial"/>
      <family val="2"/>
    </font>
    <font>
      <sz val="11"/>
      <color theme="0"/>
      <name val="Arial"/>
      <family val="2"/>
    </font>
    <font>
      <b/>
      <sz val="11"/>
      <color theme="9" tint="-0.249977111117893"/>
      <name val="Arial"/>
      <family val="2"/>
    </font>
    <font>
      <sz val="11"/>
      <color rgb="FFFF0000"/>
      <name val="Arial"/>
      <family val="2"/>
    </font>
    <font>
      <sz val="10"/>
      <color rgb="FFFF0000"/>
      <name val="Calibri"/>
      <family val="2"/>
      <scheme val="minor"/>
    </font>
    <font>
      <sz val="10"/>
      <color indexed="8"/>
      <name val="Arial"/>
      <family val="2"/>
    </font>
    <font>
      <b/>
      <sz val="20"/>
      <color theme="0"/>
      <name val="Arial"/>
      <family val="2"/>
    </font>
    <font>
      <b/>
      <sz val="12"/>
      <color rgb="FF002060"/>
      <name val="Calibri"/>
      <family val="2"/>
    </font>
    <font>
      <b/>
      <sz val="11"/>
      <color theme="0"/>
      <name val="Calibri"/>
      <family val="2"/>
      <scheme val="minor"/>
    </font>
    <font>
      <b/>
      <sz val="10"/>
      <name val="Arial Narrow"/>
      <family val="2"/>
    </font>
    <font>
      <sz val="10"/>
      <color theme="1"/>
      <name val="Arial Narrow"/>
      <family val="2"/>
    </font>
    <font>
      <sz val="10"/>
      <color indexed="8"/>
      <name val="Arial Narrow"/>
      <family val="2"/>
    </font>
    <font>
      <b/>
      <sz val="10"/>
      <color theme="1"/>
      <name val="Arial Narrow"/>
      <family val="2"/>
    </font>
    <font>
      <b/>
      <sz val="10"/>
      <color theme="4" tint="-0.249977111117893"/>
      <name val="Arial Narrow"/>
      <family val="2"/>
    </font>
    <font>
      <b/>
      <sz val="14"/>
      <color theme="0"/>
      <name val="Arial"/>
      <family val="2"/>
    </font>
    <font>
      <b/>
      <sz val="12"/>
      <color theme="0"/>
      <name val="Arial"/>
      <family val="2"/>
    </font>
    <font>
      <sz val="11"/>
      <color theme="0"/>
      <name val="Calibri"/>
      <family val="2"/>
    </font>
    <font>
      <b/>
      <i/>
      <sz val="10"/>
      <name val="Arial"/>
      <family val="2"/>
    </font>
    <font>
      <b/>
      <sz val="10"/>
      <name val="Arial"/>
    </font>
    <font>
      <sz val="10"/>
      <color rgb="FFFF0000"/>
      <name val="Arial"/>
      <family val="2"/>
    </font>
    <font>
      <b/>
      <sz val="14"/>
      <name val="Arial"/>
    </font>
    <font>
      <i/>
      <sz val="9"/>
      <name val="Arial"/>
    </font>
    <font>
      <b/>
      <sz val="10"/>
      <color rgb="FFFFFFFF"/>
      <name val="Arial"/>
    </font>
    <font>
      <sz val="10"/>
      <color rgb="FF000000"/>
      <name val="Arial"/>
    </font>
    <font>
      <b/>
      <sz val="10"/>
      <color rgb="FF000000"/>
      <name val="Arial"/>
    </font>
    <font>
      <b/>
      <sz val="8"/>
      <name val="Arial"/>
    </font>
    <font>
      <b/>
      <sz val="8"/>
      <color rgb="FFFFFFFF"/>
      <name val="Arial"/>
    </font>
    <font>
      <sz val="9"/>
      <name val="Arial"/>
    </font>
    <font>
      <b/>
      <sz val="9"/>
      <name val="Arial"/>
    </font>
    <font>
      <sz val="11"/>
      <color rgb="FFFFC000"/>
      <name val="Arial"/>
    </font>
    <font>
      <sz val="10"/>
      <color rgb="FF7BA7D7"/>
      <name val="Arial"/>
    </font>
    <font>
      <sz val="10"/>
      <color rgb="FFFFC000"/>
      <name val="Arial"/>
    </font>
    <font>
      <sz val="10"/>
      <color rgb="FFED7D31"/>
      <name val="Arial"/>
    </font>
    <font>
      <i/>
      <sz val="9"/>
      <color rgb="FF666666"/>
      <name val="Arial"/>
    </font>
    <font>
      <sz val="9"/>
      <color rgb="FF0000FF"/>
      <name val="Arial"/>
    </font>
    <font>
      <i/>
      <sz val="9"/>
      <color rgb="FF0000FF"/>
      <name val="Arial"/>
    </font>
    <font>
      <b/>
      <sz val="10"/>
      <color rgb="FF0000FF"/>
      <name val="Arial"/>
      <family val="2"/>
    </font>
    <font>
      <b/>
      <sz val="9"/>
      <color rgb="FFFFFFFF"/>
      <name val="Arial"/>
    </font>
    <font>
      <b/>
      <sz val="12"/>
      <name val="Arial"/>
    </font>
    <font>
      <sz val="8"/>
      <name val="Arial"/>
    </font>
    <font>
      <b/>
      <sz val="8"/>
      <color rgb="FF000000"/>
      <name val="Arial"/>
    </font>
    <font>
      <b/>
      <sz val="7"/>
      <color rgb="FF000000"/>
      <name val="Montserrat Medium"/>
    </font>
    <font>
      <b/>
      <sz val="7"/>
      <color rgb="FFFFFFFF"/>
      <name val="Montserrat Medium"/>
    </font>
    <font>
      <i/>
      <sz val="9"/>
      <color rgb="FF595959"/>
      <name val="Montserrat Medium"/>
    </font>
    <font>
      <sz val="7"/>
      <color rgb="FFA6A6A6"/>
      <name val="Montserrat Medium"/>
    </font>
    <font>
      <b/>
      <sz val="7"/>
      <color rgb="FFA6A6A6"/>
      <name val="Montserrat Medium"/>
    </font>
    <font>
      <sz val="11"/>
      <color theme="0"/>
      <name val="Calibri"/>
      <family val="2"/>
      <scheme val="minor"/>
    </font>
    <font>
      <sz val="11"/>
      <name val="Aptos Narrow"/>
    </font>
    <font>
      <sz val="7"/>
      <color rgb="FF9C0006"/>
      <name val="Montserrat Medium"/>
    </font>
    <font>
      <b/>
      <sz val="10"/>
      <color rgb="FF1F4E78"/>
      <name val="Arial"/>
    </font>
    <font>
      <sz val="8"/>
      <color rgb="FF808080"/>
      <name val="Arial"/>
    </font>
    <font>
      <b/>
      <sz val="8"/>
      <color rgb="FF1F4E78"/>
      <name val="Arial"/>
    </font>
    <font>
      <b/>
      <sz val="8"/>
      <color rgb="FF1F4E78"/>
      <name val="Arial"/>
      <family val="2"/>
    </font>
    <font>
      <b/>
      <sz val="10"/>
      <color rgb="FFFFFFFF"/>
      <name val="Arial"/>
      <family val="2"/>
    </font>
    <font>
      <sz val="8"/>
      <color rgb="FF808080"/>
      <name val="Arial"/>
      <family val="2"/>
    </font>
    <font>
      <sz val="8"/>
      <color rgb="FF595959"/>
      <name val="Arial"/>
      <family val="2"/>
    </font>
    <font>
      <i/>
      <sz val="8"/>
      <color rgb="FF595959"/>
      <name val="Arial"/>
      <family val="2"/>
    </font>
    <font>
      <sz val="10"/>
      <color rgb="FF0000FF"/>
      <name val="Arial"/>
      <family val="2"/>
    </font>
    <font>
      <sz val="8"/>
      <color rgb="FF0000FF"/>
      <name val="Arial"/>
      <family val="2"/>
    </font>
    <font>
      <b/>
      <sz val="14"/>
      <color theme="1"/>
      <name val="Calibri"/>
      <family val="2"/>
      <scheme val="minor"/>
    </font>
    <font>
      <sz val="11"/>
      <color theme="0" tint="-0.249977111117893"/>
      <name val="Calibri"/>
      <family val="2"/>
      <scheme val="minor"/>
    </font>
    <font>
      <sz val="10"/>
      <color theme="1"/>
      <name val="Calibri"/>
      <family val="2"/>
      <scheme val="minor"/>
    </font>
    <font>
      <b/>
      <sz val="13"/>
      <color theme="1"/>
      <name val="Calibri"/>
      <family val="2"/>
      <scheme val="minor"/>
    </font>
    <font>
      <b/>
      <sz val="18"/>
      <color theme="2" tint="-0.749992370372631"/>
      <name val="Calibri"/>
      <family val="2"/>
      <scheme val="minor"/>
    </font>
    <font>
      <sz val="11"/>
      <color theme="0" tint="-0.499984740745262"/>
      <name val="Calibri"/>
      <family val="2"/>
      <scheme val="minor"/>
    </font>
    <font>
      <b/>
      <sz val="11"/>
      <color theme="0" tint="-0.499984740745262"/>
      <name val="Calibri"/>
      <family val="2"/>
      <scheme val="minor"/>
    </font>
    <font>
      <sz val="10"/>
      <name val="Times New Roman"/>
      <family val="1"/>
    </font>
    <font>
      <b/>
      <sz val="10"/>
      <name val="Times New Roman"/>
      <family val="1"/>
    </font>
    <font>
      <sz val="11"/>
      <color theme="1"/>
      <name val="Arial"/>
      <family val="2"/>
    </font>
    <font>
      <b/>
      <sz val="10"/>
      <color theme="0"/>
      <name val="Arial"/>
      <family val="2"/>
    </font>
    <font>
      <sz val="10"/>
      <color theme="0"/>
      <name val="Arial"/>
      <family val="2"/>
    </font>
    <font>
      <b/>
      <sz val="16"/>
      <name val="Arial"/>
      <family val="2"/>
    </font>
    <font>
      <b/>
      <sz val="14"/>
      <color rgb="FF0000FF"/>
      <name val="Arial"/>
      <family val="2"/>
    </font>
    <font>
      <b/>
      <sz val="14"/>
      <name val="Arial"/>
      <family val="2"/>
    </font>
    <font>
      <b/>
      <sz val="14"/>
      <color rgb="FF008000"/>
      <name val="Arial"/>
      <family val="2"/>
    </font>
    <font>
      <b/>
      <sz val="14"/>
      <color rgb="FFFF0000"/>
      <name val="Arial"/>
      <family val="2"/>
    </font>
    <font>
      <sz val="14"/>
      <name val="Arial"/>
      <family val="2"/>
    </font>
    <font>
      <sz val="14"/>
      <color rgb="FF0000FF"/>
      <name val="Arial"/>
      <family val="2"/>
    </font>
    <font>
      <sz val="14"/>
      <name val="Calibri (body)"/>
    </font>
    <font>
      <sz val="16"/>
      <name val="Arial"/>
      <family val="2"/>
    </font>
    <font>
      <b/>
      <sz val="16"/>
      <color rgb="FFC00000"/>
      <name val="Arial"/>
      <family val="2"/>
    </font>
    <font>
      <b/>
      <sz val="12"/>
      <color theme="0"/>
      <name val="Arial Narrow"/>
      <family val="2"/>
    </font>
    <font>
      <sz val="14"/>
      <color theme="0"/>
      <name val="Arial"/>
      <family val="2"/>
    </font>
    <font>
      <sz val="8"/>
      <color indexed="23"/>
      <name val="Verdana"/>
      <family val="2"/>
    </font>
    <font>
      <b/>
      <sz val="11"/>
      <color theme="2" tint="-9.9978637043366805E-2"/>
      <name val="Arial"/>
      <family val="2"/>
    </font>
    <font>
      <sz val="14"/>
      <color theme="1"/>
      <name val="Arial"/>
      <family val="2"/>
    </font>
    <font>
      <sz val="16"/>
      <color theme="1"/>
      <name val="Arial"/>
      <family val="2"/>
    </font>
    <font>
      <sz val="8"/>
      <color theme="1"/>
      <name val="Calibri"/>
      <family val="2"/>
      <scheme val="minor"/>
    </font>
    <font>
      <b/>
      <sz val="8"/>
      <color theme="1"/>
      <name val="Calibri"/>
      <family val="2"/>
      <scheme val="minor"/>
    </font>
    <font>
      <b/>
      <sz val="9"/>
      <name val="Arial"/>
      <family val="2"/>
    </font>
    <font>
      <b/>
      <sz val="8"/>
      <color theme="1"/>
      <name val="Arial"/>
      <family val="2"/>
    </font>
    <font>
      <b/>
      <sz val="11"/>
      <name val="Calibri"/>
      <family val="2"/>
      <scheme val="minor"/>
    </font>
    <font>
      <b/>
      <sz val="9"/>
      <name val="Calibri"/>
      <family val="2"/>
      <scheme val="minor"/>
    </font>
    <font>
      <sz val="9"/>
      <color theme="1"/>
      <name val="Arial"/>
      <family val="2"/>
    </font>
    <font>
      <b/>
      <sz val="8"/>
      <color theme="3" tint="-0.249977111117893"/>
      <name val="Arial"/>
      <family val="2"/>
    </font>
    <font>
      <sz val="8"/>
      <color theme="1"/>
      <name val="Arial"/>
      <family val="2"/>
    </font>
    <font>
      <b/>
      <sz val="8"/>
      <color rgb="FFFF0000"/>
      <name val="Calibri"/>
      <family val="2"/>
      <scheme val="minor"/>
    </font>
    <font>
      <b/>
      <sz val="16"/>
      <color theme="1"/>
      <name val="Calibri"/>
      <family val="2"/>
      <scheme val="minor"/>
    </font>
    <font>
      <sz val="8"/>
      <color rgb="FFFF0000"/>
      <name val="Arial"/>
      <family val="2"/>
    </font>
    <font>
      <b/>
      <sz val="12"/>
      <color rgb="FF0070C0"/>
      <name val="Arial"/>
      <family val="2"/>
    </font>
    <font>
      <sz val="12"/>
      <color theme="1"/>
      <name val="Calibri"/>
      <family val="2"/>
      <scheme val="minor"/>
    </font>
    <font>
      <b/>
      <sz val="12"/>
      <color rgb="FFFF0000"/>
      <name val="Arial"/>
      <family val="2"/>
    </font>
    <font>
      <b/>
      <sz val="12"/>
      <color indexed="10"/>
      <name val="Arial"/>
      <family val="2"/>
    </font>
    <font>
      <b/>
      <sz val="12"/>
      <color rgb="FF0070C0"/>
      <name val="Calibri"/>
      <family val="2"/>
      <scheme val="minor"/>
    </font>
    <font>
      <b/>
      <i/>
      <u/>
      <sz val="16"/>
      <name val="Arial"/>
      <family val="2"/>
    </font>
    <font>
      <b/>
      <sz val="10"/>
      <color indexed="8"/>
      <name val="Arial"/>
      <family val="2"/>
    </font>
    <font>
      <sz val="9"/>
      <color theme="0" tint="-0.499984740745262"/>
      <name val="Arial"/>
      <family val="2"/>
    </font>
    <font>
      <sz val="11"/>
      <color rgb="FF002060"/>
      <name val="Arial Narrow"/>
      <family val="2"/>
    </font>
    <font>
      <sz val="11"/>
      <color rgb="FF002060"/>
      <name val="Calibri"/>
      <family val="2"/>
      <scheme val="minor"/>
    </font>
    <font>
      <b/>
      <sz val="9"/>
      <color rgb="FF002060"/>
      <name val="Arial Narrow"/>
      <family val="2"/>
    </font>
    <font>
      <b/>
      <sz val="11"/>
      <color theme="0"/>
      <name val="Arial Narrow"/>
      <family val="2"/>
    </font>
    <font>
      <b/>
      <sz val="10"/>
      <color theme="0"/>
      <name val="Arial Narrow"/>
      <family val="2"/>
    </font>
    <font>
      <sz val="11"/>
      <name val="Arial Narrow"/>
      <family val="2"/>
    </font>
    <font>
      <sz val="11"/>
      <color theme="0"/>
      <name val="Arial Narrow"/>
      <family val="2"/>
    </font>
    <font>
      <sz val="11"/>
      <color indexed="8"/>
      <name val="Arial Narrow"/>
      <family val="2"/>
    </font>
    <font>
      <sz val="9"/>
      <name val="Arial Narrow"/>
      <family val="2"/>
    </font>
    <font>
      <sz val="9"/>
      <color indexed="8"/>
      <name val="Arial Narrow"/>
      <family val="2"/>
    </font>
    <font>
      <b/>
      <sz val="10"/>
      <color rgb="FFC00000"/>
      <name val="Calibri"/>
      <family val="2"/>
      <scheme val="minor"/>
    </font>
    <font>
      <sz val="10"/>
      <color rgb="FF0070C0"/>
      <name val="Arial"/>
      <family val="2"/>
    </font>
    <font>
      <b/>
      <sz val="8"/>
      <color rgb="FF000000"/>
      <name val="Arial"/>
      <family val="2"/>
    </font>
    <font>
      <b/>
      <sz val="9"/>
      <color rgb="FF000000"/>
      <name val="Calibri"/>
      <family val="2"/>
      <scheme val="minor"/>
    </font>
    <font>
      <sz val="10"/>
      <color rgb="FF000000"/>
      <name val="Calibri"/>
      <family val="2"/>
      <scheme val="minor"/>
    </font>
    <font>
      <sz val="8"/>
      <color rgb="FF000000"/>
      <name val="Arial"/>
      <family val="2"/>
    </font>
    <font>
      <sz val="9"/>
      <color rgb="FF000000"/>
      <name val="Arial"/>
      <family val="2"/>
    </font>
    <font>
      <b/>
      <sz val="10"/>
      <color rgb="FF000000"/>
      <name val="Calibri"/>
      <family val="2"/>
      <scheme val="minor"/>
    </font>
    <font>
      <sz val="10"/>
      <color rgb="FF1F4E78"/>
      <name val="Calibri"/>
      <family val="2"/>
      <scheme val="minor"/>
    </font>
    <font>
      <b/>
      <sz val="10"/>
      <color rgb="FF1F4E78"/>
      <name val="Arial"/>
      <family val="2"/>
    </font>
    <font>
      <sz val="10"/>
      <color rgb="FF1F4E78"/>
      <name val="Arial"/>
      <family val="2"/>
    </font>
    <font>
      <b/>
      <sz val="10"/>
      <color rgb="FF1F4E78"/>
      <name val="Arial Narrow"/>
      <family val="2"/>
    </font>
    <font>
      <b/>
      <sz val="11"/>
      <color rgb="FF1F4E78"/>
      <name val="Calibri"/>
      <family val="2"/>
      <scheme val="minor"/>
    </font>
    <font>
      <b/>
      <sz val="9"/>
      <color rgb="FF1F4E78"/>
      <name val="Arial"/>
      <family val="2"/>
    </font>
    <font>
      <b/>
      <sz val="9"/>
      <color rgb="FF1F4E78"/>
      <name val="Calibri"/>
      <family val="2"/>
      <scheme val="minor"/>
    </font>
    <font>
      <sz val="9"/>
      <color rgb="FF595959"/>
      <name val="Arial"/>
      <family val="2"/>
    </font>
    <font>
      <b/>
      <sz val="8"/>
      <color rgb="FF595959"/>
      <name val="Arial"/>
      <family val="2"/>
    </font>
    <font>
      <sz val="11"/>
      <color rgb="FF000000"/>
      <name val="Calibri"/>
      <family val="2"/>
      <scheme val="minor"/>
    </font>
    <font>
      <sz val="9"/>
      <color rgb="FF000000"/>
      <name val="Calibri"/>
      <family val="2"/>
      <scheme val="minor"/>
    </font>
    <font>
      <b/>
      <sz val="8"/>
      <color rgb="FF1F4E78"/>
      <name val="Calibri"/>
      <family val="2"/>
      <scheme val="minor"/>
    </font>
    <font>
      <sz val="9"/>
      <color rgb="FF000000"/>
      <name val="Times New Roman"/>
      <family val="1"/>
    </font>
    <font>
      <sz val="8"/>
      <color rgb="FF1F4E78"/>
      <name val="Arial"/>
      <family val="2"/>
    </font>
    <font>
      <sz val="11"/>
      <color rgb="FF1F4E78"/>
      <name val="Calibri"/>
      <family val="2"/>
      <scheme val="minor"/>
    </font>
    <font>
      <i/>
      <sz val="8"/>
      <color indexed="8"/>
      <name val="Arial Narrow"/>
      <family val="2"/>
    </font>
    <font>
      <b/>
      <sz val="11"/>
      <color indexed="8"/>
      <name val="Arial Narrow"/>
      <family val="2"/>
    </font>
    <font>
      <b/>
      <sz val="11"/>
      <color rgb="FF2E5C8A"/>
      <name val="Calibri"/>
      <family val="2"/>
      <scheme val="minor"/>
    </font>
    <font>
      <b/>
      <sz val="9"/>
      <color rgb="FF2E5C8A"/>
      <name val="Calibri"/>
      <family val="2"/>
      <scheme val="minor"/>
    </font>
    <font>
      <b/>
      <sz val="8"/>
      <color rgb="FF2E5C8A"/>
      <name val="Arial"/>
      <family val="2"/>
    </font>
    <font>
      <b/>
      <sz val="11"/>
      <color rgb="FFB85450"/>
      <name val="Calibri"/>
      <family val="2"/>
      <scheme val="minor"/>
    </font>
    <font>
      <b/>
      <sz val="9"/>
      <color rgb="FFB85450"/>
      <name val="Calibri"/>
      <family val="2"/>
      <scheme val="minor"/>
    </font>
    <font>
      <b/>
      <sz val="8"/>
      <color rgb="FFB85450"/>
      <name val="Arial"/>
      <family val="2"/>
    </font>
    <font>
      <b/>
      <sz val="12"/>
      <color theme="1"/>
      <name val="Arial"/>
      <family val="2"/>
    </font>
    <font>
      <b/>
      <sz val="11"/>
      <color theme="1"/>
      <name val="Arial"/>
      <family val="2"/>
    </font>
    <font>
      <b/>
      <sz val="9"/>
      <color theme="1"/>
      <name val="Arial"/>
      <family val="2"/>
    </font>
    <font>
      <b/>
      <sz val="7"/>
      <name val="Arial"/>
      <family val="2"/>
    </font>
    <font>
      <b/>
      <sz val="9"/>
      <color theme="5" tint="-0.249977111117893"/>
      <name val="Calibri"/>
      <family val="2"/>
      <scheme val="minor"/>
    </font>
    <font>
      <b/>
      <sz val="10"/>
      <color theme="5" tint="-0.249977111117893"/>
      <name val="Calibri"/>
      <family val="2"/>
      <scheme val="minor"/>
    </font>
    <font>
      <sz val="11"/>
      <color rgb="FFFFC000"/>
      <name val="Calibri"/>
      <family val="2"/>
      <scheme val="minor"/>
    </font>
    <font>
      <b/>
      <sz val="16"/>
      <name val="Arial Narow"/>
    </font>
    <font>
      <b/>
      <u/>
      <sz val="16"/>
      <name val="Arial Narow"/>
    </font>
    <font>
      <b/>
      <sz val="16"/>
      <color theme="1"/>
      <name val="Arial Narow"/>
    </font>
    <font>
      <sz val="16"/>
      <color theme="1"/>
      <name val="Arial Narow"/>
    </font>
    <font>
      <sz val="11"/>
      <color indexed="8"/>
      <name val="Calibri"/>
      <family val="2"/>
    </font>
    <font>
      <sz val="16"/>
      <name val="Arial Narow"/>
    </font>
    <font>
      <sz val="9"/>
      <name val="Calibri"/>
      <family val="2"/>
    </font>
    <font>
      <b/>
      <sz val="9"/>
      <color theme="1"/>
      <name val="Calibri"/>
      <family val="2"/>
    </font>
    <font>
      <b/>
      <sz val="9"/>
      <color theme="1"/>
      <name val="Calibri"/>
      <family val="2"/>
      <scheme val="minor"/>
    </font>
    <font>
      <sz val="9"/>
      <color theme="1"/>
      <name val="Calibri"/>
      <family val="2"/>
      <scheme val="minor"/>
    </font>
    <font>
      <sz val="9"/>
      <color rgb="FF000000"/>
      <name val="Calibri"/>
      <family val="2"/>
    </font>
    <font>
      <b/>
      <sz val="9"/>
      <color rgb="FF000000"/>
      <name val="Calibri"/>
      <family val="2"/>
    </font>
    <font>
      <b/>
      <sz val="9"/>
      <name val="Calibri"/>
      <family val="2"/>
    </font>
    <font>
      <sz val="9"/>
      <color theme="1"/>
      <name val="Calibri"/>
      <family val="2"/>
    </font>
    <font>
      <sz val="8"/>
      <color rgb="FFC00000"/>
      <name val="Arial"/>
      <family val="2"/>
    </font>
    <font>
      <b/>
      <sz val="9"/>
      <color rgb="FFFFFFFF"/>
      <name val="Calibri"/>
      <family val="2"/>
    </font>
    <font>
      <b/>
      <sz val="9"/>
      <color rgb="FFFFFFFF"/>
      <name val="Calibri"/>
      <family val="2"/>
      <scheme val="minor"/>
    </font>
    <font>
      <sz val="10"/>
      <color rgb="FF000000"/>
      <name val="Arial Narrow"/>
      <family val="2"/>
    </font>
  </fonts>
  <fills count="87">
    <fill>
      <patternFill patternType="none"/>
    </fill>
    <fill>
      <patternFill patternType="gray125"/>
    </fill>
    <fill>
      <patternFill patternType="solid">
        <fgColor indexed="2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9"/>
        <bgColor indexed="22"/>
      </patternFill>
    </fill>
    <fill>
      <patternFill patternType="solid">
        <fgColor rgb="FF002060"/>
        <bgColor indexed="64"/>
      </patternFill>
    </fill>
    <fill>
      <patternFill patternType="solid">
        <fgColor rgb="FFFFFF00"/>
        <bgColor indexed="64"/>
      </patternFill>
    </fill>
    <fill>
      <patternFill patternType="solid">
        <fgColor rgb="FFFFFFFF"/>
        <bgColor rgb="FF000000"/>
      </patternFill>
    </fill>
    <fill>
      <patternFill patternType="solid">
        <fgColor theme="9"/>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14999847407452621"/>
        <bgColor rgb="FF000000"/>
      </patternFill>
    </fill>
    <fill>
      <patternFill patternType="solid">
        <fgColor rgb="FF0070C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00B05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3" tint="0.59999389629810485"/>
        <bgColor indexed="64"/>
      </patternFill>
    </fill>
    <fill>
      <patternFill patternType="solid">
        <fgColor rgb="FF00B0F0"/>
        <bgColor indexed="64"/>
      </patternFill>
    </fill>
    <fill>
      <patternFill patternType="solid">
        <fgColor theme="1"/>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rgb="FF0099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1F3864"/>
        <bgColor indexed="64"/>
      </patternFill>
    </fill>
    <fill>
      <patternFill patternType="solid">
        <fgColor rgb="FF2E75B6"/>
        <bgColor indexed="64"/>
      </patternFill>
    </fill>
    <fill>
      <patternFill patternType="solid">
        <fgColor rgb="FF9DC3E6"/>
        <bgColor indexed="64"/>
      </patternFill>
    </fill>
    <fill>
      <patternFill patternType="solid">
        <fgColor rgb="FFFFFFFF"/>
        <bgColor indexed="64"/>
      </patternFill>
    </fill>
    <fill>
      <patternFill patternType="solid">
        <fgColor rgb="FFDEEBF7"/>
        <bgColor indexed="64"/>
      </patternFill>
    </fill>
    <fill>
      <patternFill patternType="solid">
        <fgColor rgb="FFF2F2F2"/>
        <bgColor indexed="64"/>
      </patternFill>
    </fill>
    <fill>
      <patternFill patternType="solid">
        <fgColor rgb="FFAEBEDC"/>
        <bgColor indexed="64"/>
      </patternFill>
    </fill>
    <fill>
      <patternFill patternType="solid">
        <fgColor rgb="FFBDD7EE"/>
        <bgColor indexed="64"/>
      </patternFill>
    </fill>
    <fill>
      <patternFill patternType="solid">
        <fgColor rgb="FFD6E4F0"/>
        <bgColor indexed="64"/>
      </patternFill>
    </fill>
    <fill>
      <patternFill patternType="solid">
        <fgColor rgb="FFE3EDF7"/>
        <bgColor indexed="64"/>
      </patternFill>
    </fill>
    <fill>
      <patternFill patternType="solid">
        <fgColor rgb="FFFFF0C7"/>
        <bgColor indexed="64"/>
      </patternFill>
    </fill>
    <fill>
      <patternFill patternType="solid">
        <fgColor rgb="FF1F4E78"/>
        <bgColor indexed="64"/>
      </patternFill>
    </fill>
    <fill>
      <patternFill patternType="solid">
        <fgColor rgb="FFBF8F00"/>
        <bgColor indexed="64"/>
      </patternFill>
    </fill>
    <fill>
      <patternFill patternType="solid">
        <fgColor rgb="FF548235"/>
        <bgColor indexed="64"/>
      </patternFill>
    </fill>
    <fill>
      <patternFill patternType="solid">
        <fgColor rgb="FF7F7F7F"/>
        <bgColor indexed="64"/>
      </patternFill>
    </fill>
    <fill>
      <patternFill patternType="solid">
        <fgColor rgb="FFFFF2CC"/>
        <bgColor indexed="64"/>
      </patternFill>
    </fill>
    <fill>
      <patternFill patternType="solid">
        <fgColor rgb="FFD9D9D9"/>
        <bgColor indexed="64"/>
      </patternFill>
    </fill>
    <fill>
      <patternFill patternType="solid">
        <fgColor rgb="FFDDEBF7"/>
        <bgColor indexed="64"/>
      </patternFill>
    </fill>
    <fill>
      <patternFill patternType="solid">
        <fgColor rgb="FFA9D08E"/>
        <bgColor indexed="64"/>
      </patternFill>
    </fill>
    <fill>
      <patternFill patternType="solid">
        <fgColor rgb="FFFFE699"/>
        <bgColor indexed="64"/>
      </patternFill>
    </fill>
    <fill>
      <patternFill patternType="solid">
        <fgColor rgb="FFF8CBCB"/>
        <bgColor indexed="64"/>
      </patternFill>
    </fill>
    <fill>
      <patternFill patternType="solid">
        <fgColor rgb="FFF8CBAD"/>
        <bgColor indexed="64"/>
      </patternFill>
    </fill>
    <fill>
      <patternFill patternType="solid">
        <fgColor rgb="FFC6E0B4"/>
        <bgColor indexed="64"/>
      </patternFill>
    </fill>
    <fill>
      <patternFill patternType="solid">
        <fgColor rgb="FFCCC0DA"/>
        <bgColor indexed="64"/>
      </patternFill>
    </fill>
    <fill>
      <patternFill patternType="solid">
        <fgColor rgb="FFF4B6C2"/>
        <bgColor indexed="64"/>
      </patternFill>
    </fill>
    <fill>
      <patternFill patternType="solid">
        <fgColor rgb="FFDCE6F1"/>
        <bgColor indexed="64"/>
      </patternFill>
    </fill>
    <fill>
      <patternFill patternType="solid">
        <fgColor rgb="FFFFC7CE"/>
        <bgColor indexed="64"/>
      </patternFill>
    </fill>
    <fill>
      <patternFill patternType="solid">
        <fgColor rgb="FF5B9BD5"/>
        <bgColor indexed="64"/>
      </patternFill>
    </fill>
    <fill>
      <patternFill patternType="solid">
        <fgColor rgb="FFF2F7FC"/>
        <bgColor indexed="64"/>
      </patternFill>
    </fill>
    <fill>
      <patternFill patternType="solid">
        <fgColor rgb="FFC00000"/>
        <bgColor indexed="64"/>
      </patternFill>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rgb="FFFFDE9B"/>
        <bgColor indexed="64"/>
      </patternFill>
    </fill>
    <fill>
      <patternFill patternType="solid">
        <fgColor rgb="FFC6EFCE"/>
        <bgColor indexed="64"/>
      </patternFill>
    </fill>
    <fill>
      <patternFill patternType="solid">
        <fgColor rgb="FFF7F7F7"/>
        <bgColor indexed="64"/>
      </patternFill>
    </fill>
    <fill>
      <patternFill patternType="solid">
        <fgColor theme="6" tint="0.79998168889431442"/>
        <bgColor indexed="64"/>
      </patternFill>
    </fill>
    <fill>
      <patternFill patternType="solid">
        <fgColor theme="8" tint="0.59999389629810485"/>
        <bgColor theme="4" tint="0.79998168889431442"/>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CC66"/>
        <bgColor indexed="64"/>
      </patternFill>
    </fill>
    <fill>
      <patternFill patternType="solid">
        <fgColor rgb="FFF9ECBD"/>
        <bgColor indexed="64"/>
      </patternFill>
    </fill>
    <fill>
      <patternFill patternType="solid">
        <fgColor rgb="FFFFFFCC"/>
        <bgColor indexed="64"/>
      </patternFill>
    </fill>
    <fill>
      <patternFill patternType="solid">
        <fgColor rgb="FFEDEDED"/>
        <bgColor indexed="64"/>
      </patternFill>
    </fill>
    <fill>
      <patternFill patternType="solid">
        <fgColor rgb="FFFBE5D6"/>
        <bgColor indexed="64"/>
      </patternFill>
    </fill>
    <fill>
      <patternFill patternType="solid">
        <fgColor rgb="FFFFE066"/>
        <bgColor indexed="64"/>
      </patternFill>
    </fill>
    <fill>
      <patternFill patternType="solid">
        <fgColor rgb="FFB7E1A1"/>
        <bgColor indexed="64"/>
      </patternFill>
    </fill>
    <fill>
      <patternFill patternType="solid">
        <fgColor rgb="FFFF8585"/>
        <bgColor indexed="64"/>
      </patternFill>
    </fill>
  </fills>
  <borders count="19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hair">
        <color indexed="64"/>
      </bottom>
      <diagonal/>
    </border>
    <border>
      <left style="thin">
        <color indexed="22"/>
      </left>
      <right style="thin">
        <color indexed="22"/>
      </right>
      <top style="thin">
        <color indexed="22"/>
      </top>
      <bottom style="thin">
        <color indexed="22"/>
      </bottom>
      <diagonal/>
    </border>
    <border>
      <left/>
      <right style="thin">
        <color indexed="64"/>
      </right>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right/>
      <top style="thin">
        <color indexed="64"/>
      </top>
      <bottom style="hair">
        <color indexed="64"/>
      </bottom>
      <diagonal/>
    </border>
    <border>
      <left/>
      <right style="thin">
        <color theme="0"/>
      </right>
      <top/>
      <bottom/>
      <diagonal/>
    </border>
    <border>
      <left/>
      <right style="thin">
        <color theme="0"/>
      </right>
      <top style="thin">
        <color indexed="64"/>
      </top>
      <bottom/>
      <diagonal/>
    </border>
    <border>
      <left/>
      <right style="thin">
        <color theme="0"/>
      </right>
      <top/>
      <bottom style="thin">
        <color indexed="64"/>
      </bottom>
      <diagonal/>
    </border>
    <border>
      <left style="thin">
        <color theme="0"/>
      </left>
      <right/>
      <top style="thin">
        <color indexed="64"/>
      </top>
      <bottom/>
      <diagonal/>
    </border>
    <border>
      <left style="thin">
        <color theme="0"/>
      </left>
      <right/>
      <top/>
      <bottom/>
      <diagonal/>
    </border>
    <border>
      <left style="thin">
        <color theme="0"/>
      </left>
      <right/>
      <top/>
      <bottom style="thin">
        <color indexed="64"/>
      </bottom>
      <diagonal/>
    </border>
    <border>
      <left style="thin">
        <color indexed="64"/>
      </left>
      <right style="thin">
        <color theme="0"/>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diagonal/>
    </border>
    <border>
      <left style="thin">
        <color indexed="64"/>
      </left>
      <right style="thin">
        <color indexed="64"/>
      </right>
      <top style="double">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medium">
        <color indexed="64"/>
      </right>
      <top style="double">
        <color indexed="64"/>
      </top>
      <bottom/>
      <diagonal/>
    </border>
    <border>
      <left/>
      <right style="medium">
        <color indexed="64"/>
      </right>
      <top style="double">
        <color indexed="64"/>
      </top>
      <bottom style="medium">
        <color indexed="64"/>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bottom/>
      <diagonal/>
    </border>
    <border>
      <left style="thin">
        <color rgb="FFBF8F00"/>
      </left>
      <right style="thin">
        <color rgb="FFBF8F00"/>
      </right>
      <top style="thin">
        <color rgb="FFBF8F00"/>
      </top>
      <bottom style="thin">
        <color rgb="FFBF8F00"/>
      </bottom>
      <diagonal/>
    </border>
    <border>
      <left style="thin">
        <color rgb="FF1F3864"/>
      </left>
      <right style="thin">
        <color rgb="FF1F3864"/>
      </right>
      <top style="thin">
        <color rgb="FF1F3864"/>
      </top>
      <bottom/>
      <diagonal/>
    </border>
    <border>
      <left style="thin">
        <color rgb="FF2E75B6"/>
      </left>
      <right style="thin">
        <color rgb="FF2E75B6"/>
      </right>
      <top style="thin">
        <color rgb="FF2E75B6"/>
      </top>
      <bottom/>
      <diagonal/>
    </border>
    <border>
      <left style="thin">
        <color rgb="FF5B9BD5"/>
      </left>
      <right style="thin">
        <color rgb="FF5B9BD5"/>
      </right>
      <top style="thin">
        <color rgb="FF5B9BD5"/>
      </top>
      <bottom/>
      <diagonal/>
    </border>
    <border>
      <left style="thin">
        <color rgb="FF7BA7D7"/>
      </left>
      <right style="thin">
        <color rgb="FF7BA7D7"/>
      </right>
      <top style="thin">
        <color rgb="FF7BA7D7"/>
      </top>
      <bottom/>
      <diagonal/>
    </border>
    <border>
      <left style="medium">
        <color rgb="FFC00000"/>
      </left>
      <right style="medium">
        <color rgb="FFC00000"/>
      </right>
      <top style="medium">
        <color rgb="FFC00000"/>
      </top>
      <bottom style="medium">
        <color rgb="FFC00000"/>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dotted">
        <color indexed="64"/>
      </left>
      <right style="dotted">
        <color indexed="64"/>
      </right>
      <top style="medium">
        <color indexed="64"/>
      </top>
      <bottom style="hair">
        <color indexed="64"/>
      </bottom>
      <diagonal/>
    </border>
    <border>
      <left/>
      <right style="dotted">
        <color indexed="64"/>
      </right>
      <top style="medium">
        <color indexed="64"/>
      </top>
      <bottom style="hair">
        <color indexed="64"/>
      </bottom>
      <diagonal/>
    </border>
    <border>
      <left style="dotted">
        <color indexed="64"/>
      </left>
      <right style="dotted">
        <color indexed="64"/>
      </right>
      <top style="hair">
        <color indexed="64"/>
      </top>
      <bottom style="hair">
        <color indexed="64"/>
      </bottom>
      <diagonal/>
    </border>
    <border>
      <left/>
      <right style="dotted">
        <color indexed="64"/>
      </right>
      <top style="hair">
        <color indexed="64"/>
      </top>
      <bottom style="hair">
        <color indexed="64"/>
      </bottom>
      <diagonal/>
    </border>
    <border>
      <left style="dotted">
        <color indexed="64"/>
      </left>
      <right style="dotted">
        <color indexed="64"/>
      </right>
      <top style="hair">
        <color indexed="64"/>
      </top>
      <bottom style="thin">
        <color indexed="64"/>
      </bottom>
      <diagonal/>
    </border>
    <border>
      <left/>
      <right style="dotted">
        <color indexed="64"/>
      </right>
      <top style="hair">
        <color indexed="64"/>
      </top>
      <bottom style="thin">
        <color indexed="64"/>
      </bottom>
      <diagonal/>
    </border>
    <border>
      <left style="dotted">
        <color indexed="64"/>
      </left>
      <right style="dotted">
        <color indexed="64"/>
      </right>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dotted">
        <color indexed="64"/>
      </right>
      <top style="hair">
        <color indexed="64"/>
      </top>
      <bottom/>
      <diagonal/>
    </border>
    <border>
      <left/>
      <right style="dotted">
        <color indexed="64"/>
      </right>
      <top/>
      <bottom style="hair">
        <color indexed="64"/>
      </bottom>
      <diagonal/>
    </border>
    <border>
      <left style="dotted">
        <color indexed="64"/>
      </left>
      <right/>
      <top style="hair">
        <color indexed="64"/>
      </top>
      <bottom style="hair">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dotted">
        <color indexed="64"/>
      </right>
      <top style="medium">
        <color indexed="64"/>
      </top>
      <bottom style="hair">
        <color indexed="64"/>
      </bottom>
      <diagonal/>
    </border>
    <border>
      <left style="medium">
        <color indexed="64"/>
      </left>
      <right style="dotted">
        <color indexed="64"/>
      </right>
      <top style="hair">
        <color indexed="64"/>
      </top>
      <bottom style="hair">
        <color indexed="64"/>
      </bottom>
      <diagonal/>
    </border>
    <border>
      <left style="medium">
        <color indexed="64"/>
      </left>
      <right style="dotted">
        <color indexed="64"/>
      </right>
      <top style="hair">
        <color indexed="64"/>
      </top>
      <bottom style="thin">
        <color indexed="64"/>
      </bottom>
      <diagonal/>
    </border>
    <border>
      <left style="thin">
        <color auto="1"/>
      </left>
      <right style="thin">
        <color indexed="64"/>
      </right>
      <top style="medium">
        <color indexed="64"/>
      </top>
      <bottom style="hair">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style="dotted">
        <color indexed="64"/>
      </left>
      <right/>
      <top style="medium">
        <color indexed="64"/>
      </top>
      <bottom style="hair">
        <color indexed="64"/>
      </bottom>
      <diagonal/>
    </border>
    <border>
      <left style="dotted">
        <color indexed="64"/>
      </left>
      <right/>
      <top/>
      <bottom style="hair">
        <color indexed="64"/>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style="medium">
        <color theme="8" tint="-0.249977111117893"/>
      </right>
      <top style="medium">
        <color theme="8" tint="-0.249977111117893"/>
      </top>
      <bottom style="medium">
        <color theme="8" tint="-0.249977111117893"/>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style="thin">
        <color theme="0"/>
      </left>
      <right style="thin">
        <color theme="0"/>
      </right>
      <top style="thin">
        <color theme="0"/>
      </top>
      <bottom/>
      <diagonal/>
    </border>
    <border>
      <left style="medium">
        <color theme="8" tint="-0.249977111117893"/>
      </left>
      <right/>
      <top style="thin">
        <color indexed="64"/>
      </top>
      <bottom/>
      <diagonal/>
    </border>
    <border>
      <left/>
      <right/>
      <top style="thin">
        <color indexed="64"/>
      </top>
      <bottom/>
      <diagonal/>
    </border>
    <border>
      <left/>
      <right style="medium">
        <color theme="8" tint="-0.249977111117893"/>
      </right>
      <top style="thin">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auto="1"/>
      </left>
      <right style="medium">
        <color indexed="64"/>
      </right>
      <top style="medium">
        <color indexed="64"/>
      </top>
      <bottom style="thin">
        <color auto="1"/>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hair">
        <color indexed="64"/>
      </top>
      <bottom/>
      <diagonal/>
    </border>
    <border>
      <left style="thin">
        <color theme="1"/>
      </left>
      <right/>
      <top style="hair">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theme="1"/>
      </left>
      <right style="medium">
        <color indexed="64"/>
      </right>
      <top style="hair">
        <color indexed="64"/>
      </top>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theme="1"/>
      </left>
      <right style="medium">
        <color indexed="64"/>
      </right>
      <top style="medium">
        <color indexed="64"/>
      </top>
      <bottom/>
      <diagonal/>
    </border>
    <border>
      <left style="medium">
        <color indexed="64"/>
      </left>
      <right style="hair">
        <color indexed="64"/>
      </right>
      <top style="medium">
        <color indexed="64"/>
      </top>
      <bottom style="hair">
        <color indexed="64"/>
      </bottom>
      <diagonal/>
    </border>
    <border>
      <left/>
      <right/>
      <top/>
      <bottom style="thin">
        <color theme="0" tint="-0.249977111117893"/>
      </bottom>
      <diagonal/>
    </border>
    <border>
      <left style="thin">
        <color auto="1"/>
      </left>
      <right style="thin">
        <color auto="1"/>
      </right>
      <top style="hair">
        <color indexed="64"/>
      </top>
      <bottom style="hair">
        <color indexed="64"/>
      </bottom>
      <diagonal/>
    </border>
    <border>
      <left style="thin">
        <color auto="1"/>
      </left>
      <right style="thin">
        <color auto="1"/>
      </right>
      <top style="hair">
        <color indexed="64"/>
      </top>
      <bottom style="thin">
        <color auto="1"/>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style="thin">
        <color auto="1"/>
      </bottom>
      <diagonal/>
    </border>
    <border>
      <left style="thin">
        <color indexed="64"/>
      </left>
      <right/>
      <top style="hair">
        <color indexed="64"/>
      </top>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thin">
        <color indexed="64"/>
      </left>
      <right/>
      <top style="hair">
        <color indexed="64"/>
      </top>
      <bottom style="thin">
        <color auto="1"/>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theme="1"/>
      </left>
      <right style="medium">
        <color indexed="64"/>
      </right>
      <top/>
      <bottom/>
      <diagonal/>
    </border>
    <border>
      <left style="thin">
        <color indexed="64"/>
      </left>
      <right style="medium">
        <color indexed="64"/>
      </right>
      <top style="thin">
        <color indexed="64"/>
      </top>
      <bottom/>
      <diagonal/>
    </border>
    <border>
      <left style="thin">
        <color auto="1"/>
      </left>
      <right/>
      <top style="medium">
        <color indexed="64"/>
      </top>
      <bottom style="hair">
        <color indexed="64"/>
      </bottom>
      <diagonal/>
    </border>
    <border>
      <left/>
      <right style="thin">
        <color indexed="64"/>
      </right>
      <top style="medium">
        <color indexed="64"/>
      </top>
      <bottom style="hair">
        <color indexed="64"/>
      </bottom>
      <diagonal/>
    </border>
  </borders>
  <cellStyleXfs count="62">
    <xf numFmtId="0" fontId="0" fillId="0" borderId="0"/>
    <xf numFmtId="0" fontId="10" fillId="2" borderId="0" applyNumberFormat="0" applyBorder="0" applyAlignment="0" applyProtection="0"/>
    <xf numFmtId="0" fontId="4" fillId="0" borderId="0"/>
    <xf numFmtId="0" fontId="4" fillId="0" borderId="0"/>
    <xf numFmtId="0" fontId="4" fillId="0" borderId="0"/>
    <xf numFmtId="0" fontId="4" fillId="0" borderId="0"/>
    <xf numFmtId="0" fontId="11" fillId="3" borderId="2" applyNumberFormat="0" applyAlignment="0" applyProtection="0"/>
    <xf numFmtId="0" fontId="12" fillId="0" borderId="3" applyNumberFormat="0" applyFill="0" applyAlignment="0" applyProtection="0"/>
    <xf numFmtId="0" fontId="13" fillId="0" borderId="0" applyNumberFormat="0" applyFill="0" applyBorder="0" applyAlignment="0" applyProtection="0"/>
    <xf numFmtId="0" fontId="14" fillId="4" borderId="1" applyNumberFormat="0" applyAlignment="0" applyProtection="0"/>
    <xf numFmtId="164" fontId="4" fillId="0" borderId="0" applyFont="0" applyFill="0" applyBorder="0" applyAlignment="0" applyProtection="0"/>
    <xf numFmtId="0" fontId="1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1" fontId="17" fillId="0" borderId="4">
      <alignment horizontal="left"/>
    </xf>
    <xf numFmtId="0" fontId="4" fillId="0" borderId="0"/>
    <xf numFmtId="0" fontId="4" fillId="0" borderId="0"/>
    <xf numFmtId="0" fontId="4" fillId="5" borderId="5" applyNumberFormat="0" applyFont="0" applyAlignment="0" applyProtection="0"/>
    <xf numFmtId="0" fontId="17" fillId="0" borderId="6">
      <alignment horizontal="center"/>
    </xf>
    <xf numFmtId="0" fontId="12" fillId="0" borderId="0" applyNumberFormat="0" applyFill="0" applyBorder="0" applyAlignment="0" applyProtection="0"/>
    <xf numFmtId="0" fontId="4" fillId="0" borderId="0"/>
    <xf numFmtId="0" fontId="4" fillId="0" borderId="0"/>
    <xf numFmtId="0" fontId="51" fillId="0" borderId="0"/>
    <xf numFmtId="169" fontId="5" fillId="0" borderId="0"/>
    <xf numFmtId="43" fontId="60" fillId="0" borderId="0" applyFont="0" applyFill="0" applyBorder="0" applyAlignment="0" applyProtection="0"/>
    <xf numFmtId="0" fontId="62" fillId="0" borderId="0" applyNumberFormat="0" applyFill="0" applyBorder="0" applyAlignment="0" applyProtection="0"/>
    <xf numFmtId="0" fontId="2" fillId="0" borderId="0"/>
    <xf numFmtId="9" fontId="2" fillId="0" borderId="0" applyFont="0" applyFill="0" applyBorder="0" applyAlignment="0" applyProtection="0"/>
    <xf numFmtId="0" fontId="4" fillId="0" borderId="0"/>
    <xf numFmtId="171" fontId="4" fillId="0" borderId="0" applyFont="0" applyFill="0" applyBorder="0" applyAlignment="0" applyProtection="0"/>
    <xf numFmtId="173" fontId="2" fillId="0" borderId="0" applyFont="0" applyFill="0" applyBorder="0" applyAlignment="0" applyProtection="0"/>
    <xf numFmtId="175" fontId="4" fillId="0" borderId="0" applyFont="0" applyFill="0" applyBorder="0" applyAlignment="0" applyProtection="0"/>
    <xf numFmtId="0" fontId="4" fillId="0" borderId="0"/>
    <xf numFmtId="0" fontId="2" fillId="0" borderId="0"/>
    <xf numFmtId="0" fontId="89" fillId="0" borderId="0">
      <alignment vertical="top"/>
    </xf>
    <xf numFmtId="0" fontId="4" fillId="0" borderId="0"/>
    <xf numFmtId="0" fontId="4" fillId="0" borderId="0"/>
    <xf numFmtId="0" fontId="131" fillId="0" borderId="0"/>
    <xf numFmtId="0" fontId="1" fillId="0" borderId="0"/>
    <xf numFmtId="0" fontId="4" fillId="0" borderId="0"/>
    <xf numFmtId="0" fontId="152" fillId="0" borderId="0"/>
    <xf numFmtId="0" fontId="150" fillId="0" borderId="0"/>
    <xf numFmtId="0" fontId="4" fillId="0" borderId="0"/>
    <xf numFmtId="0" fontId="4" fillId="0" borderId="0"/>
    <xf numFmtId="9" fontId="1" fillId="0" borderId="0" applyFont="0" applyFill="0" applyBorder="0" applyAlignment="0" applyProtection="0"/>
    <xf numFmtId="0" fontId="1" fillId="0" borderId="0"/>
    <xf numFmtId="0" fontId="4" fillId="0" borderId="0"/>
    <xf numFmtId="9" fontId="4" fillId="0" borderId="0" applyFont="0" applyFill="0" applyBorder="0" applyAlignment="0" applyProtection="0"/>
    <xf numFmtId="9" fontId="1" fillId="0" borderId="0" applyFont="0" applyFill="0" applyBorder="0" applyAlignment="0" applyProtection="0"/>
    <xf numFmtId="0" fontId="4" fillId="0" borderId="0"/>
    <xf numFmtId="171" fontId="1" fillId="0" borderId="0" applyFont="0" applyFill="0" applyBorder="0" applyAlignment="0" applyProtection="0"/>
    <xf numFmtId="0" fontId="4" fillId="0" borderId="0"/>
    <xf numFmtId="0" fontId="1" fillId="0" borderId="0"/>
    <xf numFmtId="0" fontId="4" fillId="0" borderId="0"/>
    <xf numFmtId="0" fontId="4" fillId="0" borderId="0"/>
    <xf numFmtId="0" fontId="4" fillId="0" borderId="0"/>
    <xf numFmtId="0" fontId="1" fillId="0" borderId="0"/>
    <xf numFmtId="9"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175" fontId="4" fillId="0" borderId="0" applyFont="0" applyFill="0" applyBorder="0" applyAlignment="0" applyProtection="0"/>
    <xf numFmtId="0" fontId="4" fillId="0" borderId="0"/>
    <xf numFmtId="0" fontId="243" fillId="0" borderId="0" applyFont="0" applyFill="0" applyBorder="0" applyAlignment="0" applyProtection="0"/>
  </cellStyleXfs>
  <cellXfs count="2701">
    <xf numFmtId="0" fontId="0" fillId="0" borderId="0" xfId="0"/>
    <xf numFmtId="0" fontId="0" fillId="0" borderId="0" xfId="0" applyAlignment="1">
      <alignment horizontal="center"/>
    </xf>
    <xf numFmtId="0" fontId="4" fillId="0" borderId="0" xfId="0" applyFont="1"/>
    <xf numFmtId="0" fontId="5" fillId="0" borderId="0" xfId="0" applyFont="1"/>
    <xf numFmtId="1" fontId="0" fillId="0" borderId="7" xfId="0" applyNumberFormat="1" applyBorder="1"/>
    <xf numFmtId="1" fontId="0" fillId="6" borderId="7" xfId="0" applyNumberFormat="1" applyFill="1" applyBorder="1"/>
    <xf numFmtId="1" fontId="7" fillId="0" borderId="7" xfId="0" applyNumberFormat="1" applyFont="1" applyBorder="1"/>
    <xf numFmtId="1" fontId="7" fillId="0" borderId="8" xfId="0" applyNumberFormat="1" applyFont="1" applyBorder="1"/>
    <xf numFmtId="1" fontId="6" fillId="0" borderId="7" xfId="0" applyNumberFormat="1" applyFont="1" applyBorder="1" applyAlignment="1">
      <alignment horizontal="center"/>
    </xf>
    <xf numFmtId="1" fontId="6" fillId="7" borderId="7" xfId="0" applyNumberFormat="1" applyFont="1" applyFill="1" applyBorder="1" applyAlignment="1">
      <alignment horizontal="center"/>
    </xf>
    <xf numFmtId="0" fontId="6" fillId="0" borderId="0" xfId="0" applyFont="1"/>
    <xf numFmtId="0" fontId="3" fillId="0" borderId="0" xfId="0" applyFont="1" applyAlignment="1">
      <alignment horizontal="center"/>
    </xf>
    <xf numFmtId="1" fontId="0" fillId="7" borderId="7" xfId="0" applyNumberFormat="1" applyFill="1" applyBorder="1"/>
    <xf numFmtId="1" fontId="0" fillId="0" borderId="7" xfId="0" applyNumberFormat="1" applyBorder="1" applyAlignment="1">
      <alignment horizontal="center"/>
    </xf>
    <xf numFmtId="1" fontId="0" fillId="0" borderId="8" xfId="0" applyNumberFormat="1" applyBorder="1"/>
    <xf numFmtId="1" fontId="0" fillId="6" borderId="8" xfId="0" applyNumberFormat="1" applyFill="1" applyBorder="1"/>
    <xf numFmtId="12" fontId="6" fillId="7" borderId="7" xfId="0" applyNumberFormat="1" applyFont="1" applyFill="1" applyBorder="1" applyAlignment="1">
      <alignment horizontal="center"/>
    </xf>
    <xf numFmtId="0" fontId="6" fillId="0" borderId="7" xfId="0" quotePrefix="1" applyFont="1" applyBorder="1" applyAlignment="1">
      <alignment horizontal="center"/>
    </xf>
    <xf numFmtId="1" fontId="6" fillId="7" borderId="8" xfId="0" applyNumberFormat="1" applyFont="1" applyFill="1" applyBorder="1" applyAlignment="1">
      <alignment horizontal="center"/>
    </xf>
    <xf numFmtId="1" fontId="0" fillId="0" borderId="8" xfId="0" applyNumberFormat="1" applyBorder="1" applyAlignment="1">
      <alignment horizontal="center"/>
    </xf>
    <xf numFmtId="1" fontId="7" fillId="6" borderId="7" xfId="0" applyNumberFormat="1" applyFont="1" applyFill="1" applyBorder="1"/>
    <xf numFmtId="1" fontId="6" fillId="6" borderId="7" xfId="0" applyNumberFormat="1" applyFont="1" applyFill="1" applyBorder="1" applyAlignment="1">
      <alignment horizontal="center"/>
    </xf>
    <xf numFmtId="1" fontId="0" fillId="6" borderId="9" xfId="0" applyNumberFormat="1" applyFill="1" applyBorder="1" applyAlignment="1">
      <alignment horizontal="center"/>
    </xf>
    <xf numFmtId="1" fontId="6" fillId="6" borderId="9" xfId="0" applyNumberFormat="1" applyFont="1" applyFill="1" applyBorder="1" applyAlignment="1">
      <alignment horizontal="center"/>
    </xf>
    <xf numFmtId="1" fontId="6" fillId="0" borderId="9" xfId="0" applyNumberFormat="1" applyFont="1" applyBorder="1" applyAlignment="1">
      <alignment horizontal="center"/>
    </xf>
    <xf numFmtId="1" fontId="7" fillId="6" borderId="8" xfId="0" applyNumberFormat="1" applyFont="1" applyFill="1" applyBorder="1"/>
    <xf numFmtId="1" fontId="7" fillId="6" borderId="10" xfId="0" applyNumberFormat="1" applyFont="1" applyFill="1" applyBorder="1"/>
    <xf numFmtId="1" fontId="6" fillId="6" borderId="10" xfId="0" applyNumberFormat="1" applyFont="1" applyFill="1" applyBorder="1" applyAlignment="1">
      <alignment horizontal="center"/>
    </xf>
    <xf numFmtId="1" fontId="0" fillId="6" borderId="10" xfId="0" applyNumberFormat="1" applyFill="1" applyBorder="1" applyAlignment="1">
      <alignment horizontal="center"/>
    </xf>
    <xf numFmtId="1" fontId="0" fillId="6" borderId="7" xfId="0" applyNumberFormat="1" applyFill="1" applyBorder="1" applyAlignment="1">
      <alignment horizontal="center"/>
    </xf>
    <xf numFmtId="1" fontId="7" fillId="7" borderId="7" xfId="0" applyNumberFormat="1" applyFont="1" applyFill="1" applyBorder="1"/>
    <xf numFmtId="0" fontId="3" fillId="0" borderId="0" xfId="0" applyFont="1" applyAlignment="1">
      <alignment horizontal="left"/>
    </xf>
    <xf numFmtId="1" fontId="3" fillId="7" borderId="7" xfId="0" applyNumberFormat="1" applyFont="1" applyFill="1" applyBorder="1"/>
    <xf numFmtId="1" fontId="3" fillId="0" borderId="8" xfId="0" applyNumberFormat="1" applyFont="1" applyBorder="1"/>
    <xf numFmtId="1" fontId="8" fillId="6" borderId="7" xfId="0" applyNumberFormat="1" applyFont="1" applyFill="1" applyBorder="1"/>
    <xf numFmtId="1" fontId="6" fillId="7" borderId="9" xfId="0" applyNumberFormat="1" applyFont="1" applyFill="1" applyBorder="1" applyAlignment="1">
      <alignment horizontal="center"/>
    </xf>
    <xf numFmtId="1" fontId="8" fillId="0" borderId="8" xfId="0" applyNumberFormat="1" applyFont="1" applyBorder="1"/>
    <xf numFmtId="1" fontId="8" fillId="0" borderId="7" xfId="0" applyNumberFormat="1" applyFont="1" applyBorder="1"/>
    <xf numFmtId="1" fontId="3" fillId="0" borderId="7" xfId="0" applyNumberFormat="1" applyFont="1" applyBorder="1"/>
    <xf numFmtId="0" fontId="9" fillId="0" borderId="0" xfId="0" applyFont="1"/>
    <xf numFmtId="0" fontId="9" fillId="0" borderId="0" xfId="0" applyFont="1" applyAlignment="1">
      <alignment horizontal="center"/>
    </xf>
    <xf numFmtId="2" fontId="9" fillId="0" borderId="0" xfId="0" applyNumberFormat="1" applyFont="1" applyAlignment="1">
      <alignment horizontal="center"/>
    </xf>
    <xf numFmtId="0" fontId="0" fillId="0" borderId="0" xfId="0" applyAlignment="1">
      <alignment horizontal="justify"/>
    </xf>
    <xf numFmtId="0" fontId="4" fillId="0" borderId="0" xfId="14"/>
    <xf numFmtId="0" fontId="3" fillId="0" borderId="0" xfId="14" applyFont="1" applyAlignment="1">
      <alignment vertical="center"/>
    </xf>
    <xf numFmtId="0" fontId="18" fillId="0" borderId="0" xfId="0" applyFont="1"/>
    <xf numFmtId="0" fontId="18" fillId="0" borderId="0" xfId="14" applyFont="1"/>
    <xf numFmtId="0" fontId="21" fillId="0" borderId="0" xfId="14" applyFont="1" applyAlignment="1">
      <alignment vertical="center"/>
    </xf>
    <xf numFmtId="0" fontId="23" fillId="0" borderId="0" xfId="14" applyFont="1" applyAlignment="1">
      <alignment horizontal="center" vertical="center"/>
    </xf>
    <xf numFmtId="0" fontId="21" fillId="0" borderId="0" xfId="0" applyFont="1"/>
    <xf numFmtId="0" fontId="25" fillId="8" borderId="19" xfId="0" applyFont="1" applyFill="1" applyBorder="1"/>
    <xf numFmtId="0" fontId="25" fillId="8" borderId="11" xfId="0" applyFont="1" applyFill="1" applyBorder="1"/>
    <xf numFmtId="0" fontId="25" fillId="8" borderId="18" xfId="0" applyFont="1" applyFill="1" applyBorder="1"/>
    <xf numFmtId="0" fontId="25" fillId="8" borderId="0" xfId="0" applyFont="1" applyFill="1"/>
    <xf numFmtId="0" fontId="19" fillId="0" borderId="19" xfId="0" applyFont="1" applyBorder="1" applyAlignment="1">
      <alignment horizontal="left" vertical="center"/>
    </xf>
    <xf numFmtId="0" fontId="20" fillId="0" borderId="11" xfId="0" applyFont="1" applyBorder="1" applyAlignment="1">
      <alignment horizontal="left" vertical="center"/>
    </xf>
    <xf numFmtId="0" fontId="20" fillId="0" borderId="11" xfId="0" applyFont="1" applyBorder="1" applyAlignment="1">
      <alignment horizontal="justify"/>
    </xf>
    <xf numFmtId="0" fontId="20" fillId="0" borderId="11" xfId="0" applyFont="1" applyBorder="1"/>
    <xf numFmtId="0" fontId="19" fillId="0" borderId="11" xfId="0" applyFont="1" applyBorder="1" applyAlignment="1">
      <alignment horizontal="right" vertical="center"/>
    </xf>
    <xf numFmtId="0" fontId="19" fillId="0" borderId="18" xfId="0" applyFont="1" applyBorder="1" applyAlignment="1">
      <alignment horizontal="left" vertical="center"/>
    </xf>
    <xf numFmtId="0" fontId="19" fillId="0" borderId="14" xfId="0" applyFont="1" applyBorder="1"/>
    <xf numFmtId="0" fontId="24" fillId="0" borderId="0" xfId="0" applyFont="1"/>
    <xf numFmtId="0" fontId="20" fillId="0" borderId="18" xfId="0" applyFont="1" applyBorder="1"/>
    <xf numFmtId="0" fontId="19" fillId="0" borderId="17" xfId="0" applyFont="1" applyBorder="1" applyAlignment="1">
      <alignment horizontal="center" vertical="center"/>
    </xf>
    <xf numFmtId="0" fontId="25" fillId="8" borderId="25" xfId="0" applyFont="1" applyFill="1" applyBorder="1"/>
    <xf numFmtId="0" fontId="25" fillId="8" borderId="26" xfId="0" applyFont="1" applyFill="1" applyBorder="1"/>
    <xf numFmtId="0" fontId="32" fillId="0" borderId="0" xfId="19" applyFont="1" applyAlignment="1">
      <alignment horizontal="center"/>
    </xf>
    <xf numFmtId="0" fontId="18" fillId="0" borderId="0" xfId="0" applyFont="1" applyAlignment="1">
      <alignment vertical="top"/>
    </xf>
    <xf numFmtId="0" fontId="25" fillId="8" borderId="19" xfId="19" applyFont="1" applyFill="1" applyBorder="1"/>
    <xf numFmtId="0" fontId="25" fillId="8" borderId="11" xfId="19" applyFont="1" applyFill="1" applyBorder="1"/>
    <xf numFmtId="0" fontId="4" fillId="0" borderId="0" xfId="19"/>
    <xf numFmtId="0" fontId="25" fillId="8" borderId="18" xfId="19" applyFont="1" applyFill="1" applyBorder="1"/>
    <xf numFmtId="0" fontId="18" fillId="0" borderId="0" xfId="19" applyFont="1"/>
    <xf numFmtId="0" fontId="21" fillId="0" borderId="0" xfId="19" applyFont="1"/>
    <xf numFmtId="0" fontId="18" fillId="0" borderId="14" xfId="19" applyFont="1" applyBorder="1"/>
    <xf numFmtId="0" fontId="18" fillId="0" borderId="18" xfId="19" applyFont="1" applyBorder="1"/>
    <xf numFmtId="0" fontId="20" fillId="0" borderId="0" xfId="0" applyFont="1" applyAlignment="1">
      <alignment horizontal="left" vertical="center"/>
    </xf>
    <xf numFmtId="0" fontId="20" fillId="0" borderId="0" xfId="0" applyFont="1" applyAlignment="1">
      <alignment horizontal="justify"/>
    </xf>
    <xf numFmtId="0" fontId="20" fillId="0" borderId="0" xfId="0" applyFont="1"/>
    <xf numFmtId="0" fontId="19" fillId="0" borderId="0" xfId="0" applyFont="1" applyAlignment="1">
      <alignment horizontal="right" vertical="center"/>
    </xf>
    <xf numFmtId="0" fontId="19" fillId="0" borderId="0" xfId="0" applyFont="1"/>
    <xf numFmtId="0" fontId="20" fillId="0" borderId="0" xfId="0" applyFont="1" applyAlignment="1">
      <alignment horizontal="center"/>
    </xf>
    <xf numFmtId="0" fontId="20" fillId="0" borderId="14" xfId="0" applyFont="1" applyBorder="1"/>
    <xf numFmtId="0" fontId="19" fillId="0" borderId="17" xfId="0" applyFont="1" applyBorder="1" applyAlignment="1">
      <alignment horizontal="center" vertical="center" wrapText="1"/>
    </xf>
    <xf numFmtId="0" fontId="20" fillId="0" borderId="17" xfId="0" applyFont="1" applyBorder="1" applyAlignment="1">
      <alignment horizontal="center" vertical="center" wrapText="1"/>
    </xf>
    <xf numFmtId="1" fontId="19" fillId="0" borderId="17" xfId="0" applyNumberFormat="1" applyFont="1" applyBorder="1" applyAlignment="1">
      <alignment horizontal="center" vertical="center" wrapText="1"/>
    </xf>
    <xf numFmtId="1" fontId="33" fillId="6" borderId="17" xfId="0" applyNumberFormat="1" applyFont="1" applyFill="1" applyBorder="1" applyAlignment="1">
      <alignment horizontal="center" vertical="center" wrapText="1"/>
    </xf>
    <xf numFmtId="0" fontId="19" fillId="0" borderId="17" xfId="0" applyFont="1" applyBorder="1" applyAlignment="1">
      <alignment vertical="center" wrapText="1"/>
    </xf>
    <xf numFmtId="1" fontId="20" fillId="0" borderId="17" xfId="0" applyNumberFormat="1" applyFont="1" applyBorder="1" applyAlignment="1">
      <alignment horizontal="center" vertical="center" wrapText="1"/>
    </xf>
    <xf numFmtId="1" fontId="30" fillId="6" borderId="17" xfId="0" applyNumberFormat="1" applyFont="1" applyFill="1" applyBorder="1" applyAlignment="1">
      <alignment horizontal="center" vertical="center" wrapText="1"/>
    </xf>
    <xf numFmtId="1" fontId="20" fillId="0" borderId="17" xfId="19" applyNumberFormat="1" applyFont="1" applyBorder="1" applyAlignment="1">
      <alignment horizontal="center" vertical="center"/>
    </xf>
    <xf numFmtId="0" fontId="18" fillId="0" borderId="0" xfId="0" applyFont="1" applyAlignment="1">
      <alignment vertical="center"/>
    </xf>
    <xf numFmtId="0" fontId="35" fillId="0" borderId="0" xfId="19" applyFont="1" applyAlignment="1">
      <alignment horizontal="center" vertical="center"/>
    </xf>
    <xf numFmtId="0" fontId="35" fillId="9" borderId="0" xfId="19" applyFont="1" applyFill="1" applyAlignment="1">
      <alignment horizontal="center" vertical="center"/>
    </xf>
    <xf numFmtId="0" fontId="32" fillId="0" borderId="0" xfId="20" applyFont="1" applyAlignment="1">
      <alignment vertical="center"/>
    </xf>
    <xf numFmtId="0" fontId="4" fillId="0" borderId="0" xfId="0" applyFont="1" applyAlignment="1">
      <alignment vertical="center"/>
    </xf>
    <xf numFmtId="0" fontId="21" fillId="0" borderId="0" xfId="0" applyFont="1" applyAlignment="1">
      <alignment vertical="center"/>
    </xf>
    <xf numFmtId="0" fontId="0" fillId="0" borderId="0" xfId="0" applyAlignment="1">
      <alignment vertical="center"/>
    </xf>
    <xf numFmtId="0" fontId="34" fillId="0" borderId="0" xfId="0" applyFont="1" applyAlignment="1">
      <alignment vertical="center"/>
    </xf>
    <xf numFmtId="0" fontId="3" fillId="0" borderId="0" xfId="0" applyFont="1" applyAlignment="1">
      <alignment vertical="center"/>
    </xf>
    <xf numFmtId="0" fontId="25" fillId="8" borderId="0" xfId="19" applyFont="1" applyFill="1"/>
    <xf numFmtId="0" fontId="19" fillId="0" borderId="17" xfId="0" applyFont="1" applyBorder="1" applyAlignment="1">
      <alignment horizontal="center"/>
    </xf>
    <xf numFmtId="49" fontId="39" fillId="0" borderId="17" xfId="0" applyNumberFormat="1" applyFont="1" applyBorder="1" applyAlignment="1">
      <alignment horizontal="center" vertical="center" wrapText="1"/>
    </xf>
    <xf numFmtId="0" fontId="18" fillId="0" borderId="23" xfId="0" applyFont="1" applyBorder="1" applyAlignment="1">
      <alignment horizontal="center" vertical="center" wrapText="1"/>
    </xf>
    <xf numFmtId="0" fontId="4" fillId="0" borderId="0" xfId="0" applyFont="1" applyAlignment="1">
      <alignment horizontal="center"/>
    </xf>
    <xf numFmtId="2" fontId="4" fillId="0" borderId="0" xfId="0" applyNumberFormat="1" applyFont="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49" fontId="39" fillId="0" borderId="17" xfId="0" quotePrefix="1" applyNumberFormat="1" applyFont="1" applyBorder="1" applyAlignment="1">
      <alignment horizontal="center" vertical="center" wrapText="1"/>
    </xf>
    <xf numFmtId="0" fontId="41" fillId="10" borderId="15" xfId="0" applyFont="1" applyFill="1" applyBorder="1" applyAlignment="1">
      <alignment horizontal="center" vertical="center" wrapText="1"/>
    </xf>
    <xf numFmtId="0" fontId="20" fillId="0" borderId="15" xfId="0" applyFont="1" applyBorder="1" applyAlignment="1">
      <alignment horizontal="center" vertical="center" wrapText="1"/>
    </xf>
    <xf numFmtId="1" fontId="30" fillId="0" borderId="17" xfId="0" applyNumberFormat="1" applyFont="1" applyBorder="1" applyAlignment="1">
      <alignment horizontal="center" vertical="center" wrapText="1"/>
    </xf>
    <xf numFmtId="2" fontId="41" fillId="10" borderId="15" xfId="0" applyNumberFormat="1" applyFont="1" applyFill="1" applyBorder="1" applyAlignment="1">
      <alignment horizontal="center" vertical="center" wrapText="1"/>
    </xf>
    <xf numFmtId="165" fontId="20" fillId="0" borderId="17" xfId="0" applyNumberFormat="1" applyFont="1" applyBorder="1" applyAlignment="1">
      <alignment horizontal="center" vertical="center" wrapText="1"/>
    </xf>
    <xf numFmtId="166" fontId="20" fillId="0" borderId="17" xfId="0" applyNumberFormat="1" applyFont="1" applyBorder="1" applyAlignment="1">
      <alignment horizontal="center" vertical="center" wrapText="1"/>
    </xf>
    <xf numFmtId="0" fontId="21" fillId="0" borderId="0" xfId="19" applyFont="1" applyAlignment="1">
      <alignment vertical="center"/>
    </xf>
    <xf numFmtId="0" fontId="23" fillId="0" borderId="0" xfId="19" applyFont="1" applyAlignment="1">
      <alignment vertical="center"/>
    </xf>
    <xf numFmtId="0" fontId="23" fillId="0" borderId="0" xfId="19" applyFont="1" applyAlignment="1">
      <alignment vertical="top"/>
    </xf>
    <xf numFmtId="0" fontId="37" fillId="0" borderId="0" xfId="19" applyFont="1"/>
    <xf numFmtId="0" fontId="47" fillId="0" borderId="0" xfId="19" applyFont="1"/>
    <xf numFmtId="49" fontId="20" fillId="0" borderId="17" xfId="0" applyNumberFormat="1" applyFont="1" applyBorder="1" applyAlignment="1">
      <alignment horizontal="center" vertical="center" wrapText="1"/>
    </xf>
    <xf numFmtId="0" fontId="20" fillId="0" borderId="0" xfId="0" applyFont="1" applyAlignment="1">
      <alignment horizontal="center" vertical="center" wrapText="1"/>
    </xf>
    <xf numFmtId="0" fontId="48" fillId="0" borderId="23" xfId="0" applyFont="1" applyBorder="1" applyAlignment="1">
      <alignment horizontal="center" vertical="center" wrapText="1"/>
    </xf>
    <xf numFmtId="0" fontId="20" fillId="0" borderId="15" xfId="0" quotePrefix="1" applyFont="1" applyBorder="1" applyAlignment="1">
      <alignment horizontal="center" vertical="center" wrapText="1"/>
    </xf>
    <xf numFmtId="0" fontId="20" fillId="0" borderId="0" xfId="0" applyFont="1" applyAlignment="1">
      <alignment vertical="center"/>
    </xf>
    <xf numFmtId="0" fontId="49" fillId="0" borderId="0" xfId="19" applyFont="1" applyAlignment="1">
      <alignment horizontal="center" vertical="center"/>
    </xf>
    <xf numFmtId="0" fontId="49" fillId="9" borderId="0" xfId="19" applyFont="1" applyFill="1" applyAlignment="1">
      <alignment horizontal="center" vertical="center"/>
    </xf>
    <xf numFmtId="0" fontId="50" fillId="0" borderId="0" xfId="0" applyFont="1" applyAlignment="1">
      <alignment vertical="center"/>
    </xf>
    <xf numFmtId="0" fontId="48" fillId="0" borderId="0" xfId="0" applyFont="1" applyAlignment="1">
      <alignment horizontal="center" vertical="center"/>
    </xf>
    <xf numFmtId="2" fontId="48" fillId="0" borderId="0" xfId="0" applyNumberFormat="1" applyFont="1" applyAlignment="1">
      <alignment horizontal="center" vertical="center"/>
    </xf>
    <xf numFmtId="1" fontId="20" fillId="0" borderId="22" xfId="0" applyNumberFormat="1" applyFont="1" applyBorder="1" applyAlignment="1">
      <alignment horizontal="center" vertical="center"/>
    </xf>
    <xf numFmtId="0" fontId="20" fillId="0" borderId="0" xfId="0" applyFont="1" applyAlignment="1">
      <alignment horizontal="right" vertical="center" wrapText="1"/>
    </xf>
    <xf numFmtId="0" fontId="20" fillId="0" borderId="0" xfId="0" applyFont="1" applyAlignment="1">
      <alignment horizontal="left" vertical="center" wrapText="1"/>
    </xf>
    <xf numFmtId="0" fontId="53" fillId="0" borderId="0" xfId="0" applyFont="1" applyAlignment="1">
      <alignment horizontal="left" indent="2"/>
    </xf>
    <xf numFmtId="0" fontId="53" fillId="0" borderId="0" xfId="0" applyFont="1" applyAlignment="1">
      <alignment horizontal="left"/>
    </xf>
    <xf numFmtId="0" fontId="53" fillId="0" borderId="34" xfId="0" applyFont="1" applyBorder="1" applyAlignment="1">
      <alignment horizontal="left" indent="2"/>
    </xf>
    <xf numFmtId="49" fontId="20" fillId="0" borderId="17" xfId="0" applyNumberFormat="1" applyFont="1" applyBorder="1" applyAlignment="1">
      <alignment horizontal="center" vertical="center"/>
    </xf>
    <xf numFmtId="1" fontId="20" fillId="0" borderId="15" xfId="0" applyNumberFormat="1" applyFont="1" applyBorder="1" applyAlignment="1">
      <alignment horizontal="center" vertical="center"/>
    </xf>
    <xf numFmtId="0" fontId="20" fillId="0" borderId="17" xfId="0" quotePrefix="1" applyFont="1" applyBorder="1" applyAlignment="1">
      <alignment horizontal="center" vertical="center" wrapText="1"/>
    </xf>
    <xf numFmtId="1" fontId="20" fillId="0" borderId="17" xfId="0" applyNumberFormat="1" applyFont="1" applyBorder="1" applyAlignment="1">
      <alignment horizontal="center" vertical="center"/>
    </xf>
    <xf numFmtId="0" fontId="20" fillId="0" borderId="0" xfId="0" applyFont="1" applyAlignment="1">
      <alignment vertical="top" wrapText="1"/>
    </xf>
    <xf numFmtId="0" fontId="20" fillId="0" borderId="0" xfId="0" applyFont="1" applyAlignment="1">
      <alignment horizontal="right" vertical="top" wrapText="1"/>
    </xf>
    <xf numFmtId="0" fontId="19" fillId="0" borderId="0" xfId="0" applyFont="1" applyAlignment="1">
      <alignment horizontal="center" vertical="center" wrapText="1"/>
    </xf>
    <xf numFmtId="1" fontId="20" fillId="0" borderId="0" xfId="0" applyNumberFormat="1" applyFont="1" applyAlignment="1">
      <alignment horizontal="center" vertical="center" wrapText="1"/>
    </xf>
    <xf numFmtId="1" fontId="20" fillId="0" borderId="0" xfId="19" applyNumberFormat="1" applyFont="1" applyAlignment="1">
      <alignment horizontal="center" vertical="center"/>
    </xf>
    <xf numFmtId="0" fontId="18" fillId="0" borderId="0" xfId="0" applyFont="1" applyAlignment="1">
      <alignment horizontal="center" vertical="center" wrapText="1"/>
    </xf>
    <xf numFmtId="0" fontId="20" fillId="0" borderId="0" xfId="0" applyFont="1" applyAlignment="1">
      <alignment horizontal="left" vertical="top" wrapText="1"/>
    </xf>
    <xf numFmtId="49" fontId="39" fillId="0" borderId="0" xfId="0" applyNumberFormat="1" applyFont="1" applyAlignment="1">
      <alignment horizontal="center" vertical="center" wrapText="1"/>
    </xf>
    <xf numFmtId="0" fontId="20" fillId="0" borderId="0" xfId="0" applyFont="1" applyAlignment="1">
      <alignment horizontal="left" vertical="top"/>
    </xf>
    <xf numFmtId="1" fontId="20" fillId="0" borderId="17" xfId="19" applyNumberFormat="1" applyFont="1" applyBorder="1" applyAlignment="1">
      <alignment horizontal="center" vertical="center" wrapText="1"/>
    </xf>
    <xf numFmtId="0" fontId="20" fillId="9" borderId="17" xfId="0" applyFont="1" applyFill="1" applyBorder="1" applyAlignment="1">
      <alignment horizontal="center" vertical="center" wrapText="1"/>
    </xf>
    <xf numFmtId="0" fontId="19" fillId="9" borderId="17" xfId="0" applyFont="1" applyFill="1" applyBorder="1" applyAlignment="1">
      <alignment horizontal="center" vertical="center" wrapText="1"/>
    </xf>
    <xf numFmtId="49" fontId="20" fillId="9" borderId="17" xfId="0" applyNumberFormat="1" applyFont="1" applyFill="1" applyBorder="1" applyAlignment="1">
      <alignment horizontal="center" vertical="center"/>
    </xf>
    <xf numFmtId="1" fontId="30" fillId="9" borderId="17" xfId="0" applyNumberFormat="1" applyFont="1" applyFill="1" applyBorder="1" applyAlignment="1">
      <alignment horizontal="center" vertical="center" wrapText="1"/>
    </xf>
    <xf numFmtId="0" fontId="48" fillId="11" borderId="23" xfId="0" applyFont="1" applyFill="1" applyBorder="1" applyAlignment="1">
      <alignment horizontal="center" vertical="center" wrapText="1"/>
    </xf>
    <xf numFmtId="0" fontId="20" fillId="0" borderId="17" xfId="0" applyFont="1" applyBorder="1" applyAlignment="1">
      <alignment horizontal="center" vertical="center"/>
    </xf>
    <xf numFmtId="0" fontId="8" fillId="0" borderId="0" xfId="0" applyFont="1" applyAlignment="1">
      <alignment vertical="center"/>
    </xf>
    <xf numFmtId="0" fontId="7" fillId="0" borderId="0" xfId="0" applyFont="1" applyAlignment="1">
      <alignment vertical="center"/>
    </xf>
    <xf numFmtId="2" fontId="20" fillId="0" borderId="15" xfId="0" applyNumberFormat="1" applyFont="1" applyBorder="1" applyAlignment="1">
      <alignment horizontal="center" vertical="center" wrapText="1"/>
    </xf>
    <xf numFmtId="2" fontId="41" fillId="0" borderId="15" xfId="0" applyNumberFormat="1" applyFont="1" applyBorder="1" applyAlignment="1">
      <alignment horizontal="center" vertical="center" wrapText="1"/>
    </xf>
    <xf numFmtId="0" fontId="19" fillId="12" borderId="17" xfId="0" applyFont="1" applyFill="1" applyBorder="1" applyAlignment="1">
      <alignment horizontal="center" vertical="center" wrapText="1"/>
    </xf>
    <xf numFmtId="0" fontId="20" fillId="12" borderId="17" xfId="0" applyFont="1" applyFill="1" applyBorder="1" applyAlignment="1">
      <alignment horizontal="center" vertical="center" wrapText="1"/>
    </xf>
    <xf numFmtId="1" fontId="19" fillId="12" borderId="17" xfId="0" applyNumberFormat="1" applyFont="1" applyFill="1" applyBorder="1" applyAlignment="1">
      <alignment horizontal="center" vertical="center" wrapText="1"/>
    </xf>
    <xf numFmtId="1" fontId="33" fillId="12" borderId="17" xfId="0" applyNumberFormat="1" applyFont="1" applyFill="1" applyBorder="1" applyAlignment="1">
      <alignment horizontal="center" vertical="center" wrapText="1"/>
    </xf>
    <xf numFmtId="0" fontId="19" fillId="12" borderId="17" xfId="0" applyFont="1" applyFill="1" applyBorder="1" applyAlignment="1">
      <alignment vertical="center" wrapText="1"/>
    </xf>
    <xf numFmtId="1" fontId="20" fillId="12" borderId="17" xfId="0" applyNumberFormat="1" applyFont="1" applyFill="1" applyBorder="1" applyAlignment="1">
      <alignment horizontal="center" vertical="center" wrapText="1"/>
    </xf>
    <xf numFmtId="1" fontId="30" fillId="12" borderId="17" xfId="0" applyNumberFormat="1" applyFont="1" applyFill="1" applyBorder="1" applyAlignment="1">
      <alignment horizontal="center" vertical="center" wrapText="1"/>
    </xf>
    <xf numFmtId="0" fontId="20" fillId="12" borderId="17" xfId="0" applyFont="1" applyFill="1" applyBorder="1" applyAlignment="1">
      <alignment vertical="center" wrapText="1"/>
    </xf>
    <xf numFmtId="49" fontId="39" fillId="12" borderId="17" xfId="0" quotePrefix="1" applyNumberFormat="1" applyFont="1" applyFill="1" applyBorder="1" applyAlignment="1">
      <alignment horizontal="center" vertical="center" wrapText="1"/>
    </xf>
    <xf numFmtId="1" fontId="20" fillId="12" borderId="17" xfId="19" applyNumberFormat="1" applyFont="1" applyFill="1" applyBorder="1" applyAlignment="1">
      <alignment horizontal="center" vertical="center"/>
    </xf>
    <xf numFmtId="0" fontId="29" fillId="13" borderId="17" xfId="0" applyFont="1" applyFill="1" applyBorder="1" applyAlignment="1">
      <alignment vertical="center" wrapText="1"/>
    </xf>
    <xf numFmtId="2" fontId="19" fillId="12" borderId="17" xfId="0" applyNumberFormat="1" applyFont="1" applyFill="1" applyBorder="1" applyAlignment="1">
      <alignment horizontal="center" vertical="center" wrapText="1"/>
    </xf>
    <xf numFmtId="0" fontId="41" fillId="14" borderId="15" xfId="0" applyFont="1" applyFill="1" applyBorder="1" applyAlignment="1">
      <alignment horizontal="center" vertical="center" wrapText="1"/>
    </xf>
    <xf numFmtId="0" fontId="20" fillId="12" borderId="15" xfId="0" applyFont="1" applyFill="1" applyBorder="1" applyAlignment="1">
      <alignment horizontal="center" vertical="center" wrapText="1"/>
    </xf>
    <xf numFmtId="2" fontId="41" fillId="14" borderId="15" xfId="0" applyNumberFormat="1" applyFont="1" applyFill="1" applyBorder="1" applyAlignment="1">
      <alignment horizontal="center" vertical="center" wrapText="1"/>
    </xf>
    <xf numFmtId="0" fontId="55" fillId="15" borderId="36" xfId="0" applyFont="1" applyFill="1" applyBorder="1" applyAlignment="1">
      <alignment horizontal="left" vertical="center"/>
    </xf>
    <xf numFmtId="0" fontId="56" fillId="15" borderId="37" xfId="0" applyFont="1" applyFill="1" applyBorder="1" applyAlignment="1">
      <alignment vertical="center"/>
    </xf>
    <xf numFmtId="0" fontId="0" fillId="15" borderId="37" xfId="0" applyFill="1" applyBorder="1"/>
    <xf numFmtId="0" fontId="55" fillId="15" borderId="37" xfId="0" applyFont="1" applyFill="1" applyBorder="1"/>
    <xf numFmtId="0" fontId="55" fillId="15" borderId="38" xfId="0" applyFont="1" applyFill="1" applyBorder="1"/>
    <xf numFmtId="0" fontId="55" fillId="15" borderId="39" xfId="0" applyFont="1" applyFill="1" applyBorder="1" applyAlignment="1">
      <alignment vertical="center"/>
    </xf>
    <xf numFmtId="168" fontId="56" fillId="15" borderId="40" xfId="0" applyNumberFormat="1" applyFont="1" applyFill="1" applyBorder="1" applyAlignment="1">
      <alignment horizontal="right" vertical="center"/>
    </xf>
    <xf numFmtId="0" fontId="56" fillId="15" borderId="41" xfId="0" applyFont="1" applyFill="1" applyBorder="1" applyAlignment="1">
      <alignment horizontal="left" vertical="center"/>
    </xf>
    <xf numFmtId="0" fontId="56" fillId="15" borderId="42" xfId="0" applyFont="1" applyFill="1" applyBorder="1" applyAlignment="1">
      <alignment horizontal="left" vertical="center"/>
    </xf>
    <xf numFmtId="0" fontId="0" fillId="15" borderId="42" xfId="0" applyFill="1" applyBorder="1"/>
    <xf numFmtId="0" fontId="56" fillId="15" borderId="42" xfId="0" applyFont="1" applyFill="1" applyBorder="1" applyAlignment="1">
      <alignment horizontal="right" vertical="center"/>
    </xf>
    <xf numFmtId="0" fontId="56" fillId="15" borderId="43" xfId="0" applyFont="1" applyFill="1" applyBorder="1" applyAlignment="1">
      <alignment horizontal="right" vertical="center"/>
    </xf>
    <xf numFmtId="0" fontId="55" fillId="0" borderId="39" xfId="0" applyFont="1" applyBorder="1" applyAlignment="1">
      <alignment horizontal="left" vertical="center"/>
    </xf>
    <xf numFmtId="0" fontId="55" fillId="0" borderId="0" xfId="0" applyFont="1"/>
    <xf numFmtId="0" fontId="55" fillId="0" borderId="0" xfId="0" applyFont="1" applyAlignment="1">
      <alignment horizontal="right" vertical="center"/>
    </xf>
    <xf numFmtId="167" fontId="55" fillId="0" borderId="0" xfId="0" applyNumberFormat="1" applyFont="1" applyAlignment="1">
      <alignment horizontal="right" vertical="center"/>
    </xf>
    <xf numFmtId="168" fontId="55" fillId="0" borderId="0" xfId="0" applyNumberFormat="1" applyFont="1" applyAlignment="1">
      <alignment horizontal="right" vertical="center"/>
    </xf>
    <xf numFmtId="168" fontId="55" fillId="0" borderId="40" xfId="0" applyNumberFormat="1" applyFont="1" applyBorder="1" applyAlignment="1">
      <alignment horizontal="right" vertical="center"/>
    </xf>
    <xf numFmtId="0" fontId="55" fillId="0" borderId="39" xfId="0" applyFont="1" applyBorder="1"/>
    <xf numFmtId="0" fontId="55" fillId="0" borderId="0" xfId="0" applyFont="1" applyAlignment="1">
      <alignment horizontal="right"/>
    </xf>
    <xf numFmtId="168" fontId="56" fillId="0" borderId="0" xfId="0" applyNumberFormat="1" applyFont="1" applyAlignment="1">
      <alignment horizontal="right" vertical="center"/>
    </xf>
    <xf numFmtId="168" fontId="56" fillId="0" borderId="40" xfId="0" applyNumberFormat="1" applyFont="1" applyBorder="1" applyAlignment="1">
      <alignment horizontal="right" vertical="center"/>
    </xf>
    <xf numFmtId="0" fontId="55" fillId="0" borderId="40" xfId="0" applyFont="1" applyBorder="1"/>
    <xf numFmtId="0" fontId="55" fillId="0" borderId="41" xfId="0" applyFont="1" applyBorder="1"/>
    <xf numFmtId="0" fontId="55" fillId="0" borderId="42" xfId="0" applyFont="1" applyBorder="1"/>
    <xf numFmtId="0" fontId="0" fillId="0" borderId="42" xfId="0" applyBorder="1"/>
    <xf numFmtId="168" fontId="56" fillId="0" borderId="42" xfId="0" applyNumberFormat="1" applyFont="1" applyBorder="1" applyAlignment="1">
      <alignment horizontal="right" vertical="center"/>
    </xf>
    <xf numFmtId="168" fontId="56" fillId="0" borderId="43" xfId="0" applyNumberFormat="1" applyFont="1" applyBorder="1" applyAlignment="1">
      <alignment horizontal="right" vertical="center"/>
    </xf>
    <xf numFmtId="0" fontId="55" fillId="15" borderId="37" xfId="0" applyFont="1" applyFill="1" applyBorder="1" applyAlignment="1">
      <alignment horizontal="right"/>
    </xf>
    <xf numFmtId="2" fontId="0" fillId="0" borderId="0" xfId="0" applyNumberFormat="1"/>
    <xf numFmtId="0" fontId="55" fillId="0" borderId="42" xfId="0" applyFont="1" applyBorder="1" applyAlignment="1">
      <alignment horizontal="right"/>
    </xf>
    <xf numFmtId="0" fontId="55" fillId="15" borderId="0" xfId="0" applyFont="1" applyFill="1" applyAlignment="1">
      <alignment horizontal="center" vertical="center"/>
    </xf>
    <xf numFmtId="170" fontId="58" fillId="15" borderId="0" xfId="0" applyNumberFormat="1" applyFont="1" applyFill="1" applyAlignment="1">
      <alignment horizontal="left" vertical="center"/>
    </xf>
    <xf numFmtId="167" fontId="56" fillId="15" borderId="0" xfId="0" applyNumberFormat="1" applyFont="1" applyFill="1" applyAlignment="1">
      <alignment horizontal="center" vertical="center"/>
    </xf>
    <xf numFmtId="0" fontId="0" fillId="15" borderId="0" xfId="0" applyFill="1"/>
    <xf numFmtId="0" fontId="55" fillId="15" borderId="0" xfId="0" applyFont="1" applyFill="1" applyAlignment="1">
      <alignment horizontal="right" vertical="center"/>
    </xf>
    <xf numFmtId="165" fontId="59" fillId="15" borderId="37" xfId="0" applyNumberFormat="1" applyFont="1" applyFill="1" applyBorder="1" applyAlignment="1">
      <alignment horizontal="center" vertical="center" wrapText="1"/>
    </xf>
    <xf numFmtId="0" fontId="41" fillId="10" borderId="17" xfId="0" applyFont="1" applyFill="1" applyBorder="1" applyAlignment="1">
      <alignment horizontal="center" vertical="center" wrapText="1"/>
    </xf>
    <xf numFmtId="2" fontId="20" fillId="0" borderId="17" xfId="0" applyNumberFormat="1" applyFont="1" applyBorder="1" applyAlignment="1">
      <alignment horizontal="right" vertical="center" wrapText="1"/>
    </xf>
    <xf numFmtId="2" fontId="19" fillId="0" borderId="17" xfId="0" applyNumberFormat="1" applyFont="1" applyBorder="1" applyAlignment="1">
      <alignment horizontal="right" vertical="center" wrapText="1"/>
    </xf>
    <xf numFmtId="2" fontId="19" fillId="12" borderId="17" xfId="0" applyNumberFormat="1" applyFont="1" applyFill="1" applyBorder="1" applyAlignment="1">
      <alignment horizontal="right" vertical="center" wrapText="1"/>
    </xf>
    <xf numFmtId="2" fontId="20" fillId="12" borderId="17" xfId="0" applyNumberFormat="1" applyFont="1" applyFill="1" applyBorder="1" applyAlignment="1">
      <alignment horizontal="right" vertical="center" wrapText="1"/>
    </xf>
    <xf numFmtId="2" fontId="20" fillId="0" borderId="17" xfId="0" applyNumberFormat="1" applyFont="1" applyBorder="1" applyAlignment="1">
      <alignment vertical="center" wrapText="1"/>
    </xf>
    <xf numFmtId="2" fontId="20" fillId="9" borderId="17" xfId="0" applyNumberFormat="1" applyFont="1" applyFill="1" applyBorder="1" applyAlignment="1">
      <alignment horizontal="right" vertical="center" wrapText="1"/>
    </xf>
    <xf numFmtId="2" fontId="20" fillId="0" borderId="15" xfId="0" applyNumberFormat="1" applyFont="1" applyBorder="1" applyAlignment="1">
      <alignment horizontal="right" vertical="center" wrapText="1"/>
    </xf>
    <xf numFmtId="170" fontId="58" fillId="9" borderId="0" xfId="0" applyNumberFormat="1" applyFont="1" applyFill="1" applyAlignment="1">
      <alignment horizontal="left" vertical="center"/>
    </xf>
    <xf numFmtId="0" fontId="55" fillId="0" borderId="42" xfId="0" applyFont="1" applyBorder="1" applyAlignment="1">
      <alignment horizontal="left"/>
    </xf>
    <xf numFmtId="168" fontId="55" fillId="9" borderId="0" xfId="0" applyNumberFormat="1" applyFont="1" applyFill="1" applyAlignment="1">
      <alignment horizontal="right" vertical="center"/>
    </xf>
    <xf numFmtId="49" fontId="50" fillId="0" borderId="18" xfId="0" applyNumberFormat="1" applyFont="1" applyBorder="1" applyAlignment="1">
      <alignment horizontal="left" vertical="center" wrapText="1"/>
    </xf>
    <xf numFmtId="0" fontId="50" fillId="0" borderId="0" xfId="0" applyFont="1" applyAlignment="1">
      <alignment horizontal="center" vertical="center" wrapText="1"/>
    </xf>
    <xf numFmtId="0" fontId="50" fillId="0" borderId="0" xfId="0" applyFont="1" applyAlignment="1">
      <alignment horizontal="left" vertical="center"/>
    </xf>
    <xf numFmtId="1" fontId="50" fillId="0" borderId="0" xfId="0" applyNumberFormat="1" applyFont="1" applyAlignment="1">
      <alignment horizontal="center" vertical="center" wrapText="1"/>
    </xf>
    <xf numFmtId="43" fontId="58" fillId="16" borderId="47" xfId="0" applyNumberFormat="1" applyFont="1" applyFill="1" applyBorder="1" applyAlignment="1">
      <alignment horizontal="right" vertical="center" wrapText="1"/>
    </xf>
    <xf numFmtId="43" fontId="5" fillId="0" borderId="50" xfId="0" applyNumberFormat="1" applyFont="1" applyBorder="1" applyAlignment="1">
      <alignment horizontal="right" vertical="center" wrapText="1"/>
    </xf>
    <xf numFmtId="43" fontId="5" fillId="0" borderId="43" xfId="0" applyNumberFormat="1" applyFont="1" applyBorder="1" applyAlignment="1">
      <alignment horizontal="right" vertical="center" wrapText="1"/>
    </xf>
    <xf numFmtId="43" fontId="50" fillId="0" borderId="0" xfId="23" applyFont="1" applyFill="1" applyBorder="1" applyAlignment="1">
      <alignment horizontal="center" vertical="center" wrapText="1"/>
    </xf>
    <xf numFmtId="49" fontId="50" fillId="0" borderId="53" xfId="0" applyNumberFormat="1" applyFont="1" applyBorder="1" applyAlignment="1">
      <alignment vertical="center" wrapText="1"/>
    </xf>
    <xf numFmtId="0" fontId="55" fillId="17" borderId="39" xfId="0" applyFont="1" applyFill="1" applyBorder="1" applyAlignment="1">
      <alignment horizontal="left" vertical="center"/>
    </xf>
    <xf numFmtId="0" fontId="55" fillId="17" borderId="0" xfId="0" applyFont="1" applyFill="1"/>
    <xf numFmtId="0" fontId="0" fillId="17" borderId="0" xfId="0" applyFill="1"/>
    <xf numFmtId="0" fontId="55" fillId="17" borderId="0" xfId="0" applyFont="1" applyFill="1" applyAlignment="1">
      <alignment horizontal="right" vertical="center"/>
    </xf>
    <xf numFmtId="167" fontId="55" fillId="17" borderId="0" xfId="0" applyNumberFormat="1" applyFont="1" applyFill="1" applyAlignment="1">
      <alignment horizontal="right" vertical="center"/>
    </xf>
    <xf numFmtId="168" fontId="55" fillId="17" borderId="0" xfId="0" applyNumberFormat="1" applyFont="1" applyFill="1" applyAlignment="1">
      <alignment horizontal="right" vertical="center"/>
    </xf>
    <xf numFmtId="168" fontId="55" fillId="17" borderId="40" xfId="0" applyNumberFormat="1" applyFont="1" applyFill="1" applyBorder="1" applyAlignment="1">
      <alignment horizontal="right" vertical="center"/>
    </xf>
    <xf numFmtId="0" fontId="3" fillId="17" borderId="0" xfId="0" applyFont="1" applyFill="1" applyAlignment="1">
      <alignment horizontal="center" vertical="center"/>
    </xf>
    <xf numFmtId="0" fontId="55" fillId="0" borderId="36" xfId="0" applyFont="1" applyBorder="1"/>
    <xf numFmtId="0" fontId="55" fillId="0" borderId="37" xfId="0" applyFont="1" applyBorder="1"/>
    <xf numFmtId="0" fontId="0" fillId="0" borderId="37" xfId="0" applyBorder="1"/>
    <xf numFmtId="0" fontId="55" fillId="0" borderId="37" xfId="0" applyFont="1" applyBorder="1" applyAlignment="1">
      <alignment horizontal="right"/>
    </xf>
    <xf numFmtId="0" fontId="55" fillId="0" borderId="38" xfId="0" applyFont="1" applyBorder="1"/>
    <xf numFmtId="0" fontId="55" fillId="18" borderId="39" xfId="0" applyFont="1" applyFill="1" applyBorder="1" applyAlignment="1">
      <alignment horizontal="left" vertical="center"/>
    </xf>
    <xf numFmtId="0" fontId="55" fillId="18" borderId="0" xfId="0" applyFont="1" applyFill="1"/>
    <xf numFmtId="0" fontId="0" fillId="18" borderId="0" xfId="0" applyFill="1"/>
    <xf numFmtId="0" fontId="55" fillId="18" borderId="0" xfId="0" applyFont="1" applyFill="1" applyAlignment="1">
      <alignment horizontal="right" vertical="center"/>
    </xf>
    <xf numFmtId="167" fontId="55" fillId="18" borderId="0" xfId="0" applyNumberFormat="1" applyFont="1" applyFill="1" applyAlignment="1">
      <alignment horizontal="right" vertical="center"/>
    </xf>
    <xf numFmtId="168" fontId="55" fillId="18" borderId="0" xfId="0" applyNumberFormat="1" applyFont="1" applyFill="1" applyAlignment="1">
      <alignment horizontal="right" vertical="center"/>
    </xf>
    <xf numFmtId="168" fontId="55" fillId="18" borderId="40" xfId="0" applyNumberFormat="1" applyFont="1" applyFill="1" applyBorder="1" applyAlignment="1">
      <alignment horizontal="right" vertical="center"/>
    </xf>
    <xf numFmtId="0" fontId="3" fillId="18" borderId="0" xfId="0" applyFont="1" applyFill="1"/>
    <xf numFmtId="0" fontId="3" fillId="18" borderId="0" xfId="0" applyFont="1" applyFill="1" applyAlignment="1">
      <alignment horizontal="center" vertical="center"/>
    </xf>
    <xf numFmtId="0" fontId="2" fillId="0" borderId="0" xfId="25"/>
    <xf numFmtId="0" fontId="2" fillId="0" borderId="39" xfId="25" applyBorder="1"/>
    <xf numFmtId="0" fontId="2" fillId="0" borderId="40" xfId="25" applyBorder="1"/>
    <xf numFmtId="0" fontId="2" fillId="0" borderId="54" xfId="25" applyBorder="1"/>
    <xf numFmtId="0" fontId="2" fillId="0" borderId="36" xfId="25" applyBorder="1"/>
    <xf numFmtId="0" fontId="2" fillId="0" borderId="38" xfId="25" applyBorder="1" applyAlignment="1">
      <alignment horizontal="center"/>
    </xf>
    <xf numFmtId="0" fontId="2" fillId="0" borderId="54" xfId="25" applyBorder="1" applyAlignment="1">
      <alignment horizontal="center"/>
    </xf>
    <xf numFmtId="0" fontId="2" fillId="9" borderId="55" xfId="25" applyFill="1" applyBorder="1"/>
    <xf numFmtId="0" fontId="2" fillId="0" borderId="56" xfId="25" applyBorder="1"/>
    <xf numFmtId="0" fontId="2" fillId="0" borderId="41" xfId="25" applyBorder="1"/>
    <xf numFmtId="0" fontId="2" fillId="0" borderId="43" xfId="25" applyBorder="1" applyAlignment="1">
      <alignment horizontal="center"/>
    </xf>
    <xf numFmtId="0" fontId="2" fillId="0" borderId="56" xfId="25" applyBorder="1" applyAlignment="1">
      <alignment horizontal="center"/>
    </xf>
    <xf numFmtId="0" fontId="2" fillId="9" borderId="39" xfId="25" applyFill="1" applyBorder="1"/>
    <xf numFmtId="0" fontId="2" fillId="9" borderId="40" xfId="25" applyFill="1" applyBorder="1" applyAlignment="1">
      <alignment horizontal="center"/>
    </xf>
    <xf numFmtId="2" fontId="69" fillId="9" borderId="55" xfId="25" applyNumberFormat="1" applyFont="1" applyFill="1" applyBorder="1" applyAlignment="1">
      <alignment horizontal="center"/>
    </xf>
    <xf numFmtId="0" fontId="2" fillId="0" borderId="55" xfId="25" applyBorder="1"/>
    <xf numFmtId="0" fontId="2" fillId="0" borderId="40" xfId="25" applyBorder="1" applyAlignment="1">
      <alignment horizontal="center"/>
    </xf>
    <xf numFmtId="2" fontId="2" fillId="0" borderId="55" xfId="25" applyNumberFormat="1" applyBorder="1" applyAlignment="1">
      <alignment horizontal="center"/>
    </xf>
    <xf numFmtId="10" fontId="0" fillId="0" borderId="40" xfId="26" applyNumberFormat="1" applyFont="1" applyBorder="1" applyAlignment="1">
      <alignment horizontal="center"/>
    </xf>
    <xf numFmtId="2" fontId="2" fillId="0" borderId="40" xfId="25" applyNumberFormat="1" applyBorder="1" applyAlignment="1">
      <alignment horizontal="center"/>
    </xf>
    <xf numFmtId="0" fontId="2" fillId="0" borderId="9" xfId="25" applyBorder="1"/>
    <xf numFmtId="0" fontId="2" fillId="0" borderId="57" xfId="25" applyBorder="1"/>
    <xf numFmtId="0" fontId="2" fillId="0" borderId="58" xfId="25" applyBorder="1" applyAlignment="1">
      <alignment horizontal="center"/>
    </xf>
    <xf numFmtId="2" fontId="2" fillId="0" borderId="9" xfId="25" applyNumberFormat="1" applyBorder="1" applyAlignment="1">
      <alignment horizontal="center"/>
    </xf>
    <xf numFmtId="0" fontId="2" fillId="0" borderId="7" xfId="25" applyBorder="1"/>
    <xf numFmtId="0" fontId="2" fillId="0" borderId="59" xfId="25" applyBorder="1"/>
    <xf numFmtId="0" fontId="2" fillId="0" borderId="60" xfId="25" applyBorder="1" applyAlignment="1">
      <alignment horizontal="center"/>
    </xf>
    <xf numFmtId="2" fontId="2" fillId="0" borderId="7" xfId="25" applyNumberFormat="1" applyBorder="1" applyAlignment="1">
      <alignment horizontal="center"/>
    </xf>
    <xf numFmtId="0" fontId="2" fillId="0" borderId="8" xfId="25" applyBorder="1"/>
    <xf numFmtId="0" fontId="2" fillId="0" borderId="61" xfId="25" applyBorder="1"/>
    <xf numFmtId="2" fontId="2" fillId="0" borderId="62" xfId="25" applyNumberFormat="1" applyBorder="1" applyAlignment="1">
      <alignment horizontal="center"/>
    </xf>
    <xf numFmtId="0" fontId="2" fillId="20" borderId="56" xfId="25" applyFill="1" applyBorder="1"/>
    <xf numFmtId="0" fontId="2" fillId="20" borderId="41" xfId="25" applyFill="1" applyBorder="1"/>
    <xf numFmtId="0" fontId="2" fillId="20" borderId="43" xfId="25" applyFill="1" applyBorder="1" applyAlignment="1">
      <alignment horizontal="center"/>
    </xf>
    <xf numFmtId="2" fontId="2" fillId="20" borderId="56" xfId="25" applyNumberFormat="1" applyFill="1" applyBorder="1" applyAlignment="1">
      <alignment horizontal="center"/>
    </xf>
    <xf numFmtId="0" fontId="8" fillId="22" borderId="66" xfId="27" applyFont="1" applyFill="1" applyBorder="1" applyAlignment="1">
      <alignment horizontal="center" vertical="center"/>
    </xf>
    <xf numFmtId="0" fontId="8" fillId="22" borderId="0" xfId="27" applyFont="1" applyFill="1" applyAlignment="1">
      <alignment vertical="center"/>
    </xf>
    <xf numFmtId="0" fontId="7" fillId="22" borderId="67" xfId="27" applyFont="1" applyFill="1" applyBorder="1" applyAlignment="1">
      <alignment vertical="center"/>
    </xf>
    <xf numFmtId="4" fontId="71" fillId="22" borderId="40" xfId="28" applyNumberFormat="1" applyFont="1" applyFill="1" applyBorder="1" applyAlignment="1">
      <alignment vertical="center"/>
    </xf>
    <xf numFmtId="0" fontId="7" fillId="22" borderId="66" xfId="27" applyFont="1" applyFill="1" applyBorder="1" applyAlignment="1">
      <alignment horizontal="center" vertical="center"/>
    </xf>
    <xf numFmtId="0" fontId="7" fillId="22" borderId="0" xfId="25" applyFont="1" applyFill="1" applyAlignment="1">
      <alignment horizontal="left" vertical="center" indent="3"/>
    </xf>
    <xf numFmtId="2" fontId="4" fillId="23" borderId="53" xfId="27" applyNumberFormat="1" applyFill="1" applyBorder="1" applyAlignment="1">
      <alignment vertical="center"/>
    </xf>
    <xf numFmtId="4" fontId="72" fillId="16" borderId="40" xfId="28" applyNumberFormat="1" applyFont="1" applyFill="1" applyBorder="1" applyAlignment="1">
      <alignment vertical="center"/>
    </xf>
    <xf numFmtId="4" fontId="72" fillId="23" borderId="40" xfId="28" applyNumberFormat="1" applyFont="1" applyFill="1" applyBorder="1" applyAlignment="1">
      <alignment vertical="center"/>
    </xf>
    <xf numFmtId="0" fontId="73" fillId="0" borderId="0" xfId="25" applyFont="1"/>
    <xf numFmtId="2" fontId="4" fillId="22" borderId="53" xfId="27" applyNumberFormat="1" applyFill="1" applyBorder="1" applyAlignment="1">
      <alignment vertical="center"/>
    </xf>
    <xf numFmtId="4" fontId="72" fillId="16" borderId="40" xfId="27" applyNumberFormat="1" applyFont="1" applyFill="1" applyBorder="1" applyAlignment="1">
      <alignment horizontal="right" vertical="center"/>
    </xf>
    <xf numFmtId="4" fontId="72" fillId="22" borderId="40" xfId="27" applyNumberFormat="1" applyFont="1" applyFill="1" applyBorder="1" applyAlignment="1">
      <alignment horizontal="right" vertical="center"/>
    </xf>
    <xf numFmtId="4" fontId="71" fillId="22" borderId="40" xfId="27" applyNumberFormat="1" applyFont="1" applyFill="1" applyBorder="1" applyAlignment="1">
      <alignment horizontal="right" vertical="center"/>
    </xf>
    <xf numFmtId="0" fontId="7" fillId="22" borderId="0" xfId="27" applyFont="1" applyFill="1" applyAlignment="1">
      <alignment horizontal="left" vertical="center" indent="3"/>
    </xf>
    <xf numFmtId="0" fontId="7" fillId="22" borderId="0" xfId="27" applyFont="1" applyFill="1" applyAlignment="1">
      <alignment horizontal="left" vertical="center"/>
    </xf>
    <xf numFmtId="0" fontId="7" fillId="22" borderId="14" xfId="27" applyFont="1" applyFill="1" applyBorder="1" applyAlignment="1">
      <alignment horizontal="left" vertical="center"/>
    </xf>
    <xf numFmtId="2" fontId="4" fillId="23" borderId="53" xfId="27" applyNumberFormat="1" applyFill="1" applyBorder="1" applyAlignment="1">
      <alignment horizontal="center" vertical="center"/>
    </xf>
    <xf numFmtId="2" fontId="72" fillId="16" borderId="40" xfId="28" applyNumberFormat="1" applyFont="1" applyFill="1" applyBorder="1" applyAlignment="1">
      <alignment vertical="center"/>
    </xf>
    <xf numFmtId="2" fontId="72" fillId="23" borderId="40" xfId="28" applyNumberFormat="1" applyFont="1" applyFill="1" applyBorder="1" applyAlignment="1">
      <alignment vertical="center"/>
    </xf>
    <xf numFmtId="2" fontId="4" fillId="22" borderId="14" xfId="27" applyNumberFormat="1" applyFill="1" applyBorder="1" applyAlignment="1">
      <alignment vertical="center"/>
    </xf>
    <xf numFmtId="4" fontId="74" fillId="9" borderId="40" xfId="27" applyNumberFormat="1" applyFont="1" applyFill="1" applyBorder="1" applyAlignment="1">
      <alignment horizontal="right" vertical="center"/>
    </xf>
    <xf numFmtId="0" fontId="8" fillId="22" borderId="39" xfId="27" applyFont="1" applyFill="1" applyBorder="1" applyAlignment="1">
      <alignment horizontal="center" vertical="center"/>
    </xf>
    <xf numFmtId="0" fontId="75" fillId="0" borderId="70" xfId="27" applyFont="1" applyBorder="1" applyAlignment="1">
      <alignment vertical="center"/>
    </xf>
    <xf numFmtId="4" fontId="8" fillId="0" borderId="71" xfId="27" applyNumberFormat="1" applyFont="1" applyBorder="1" applyAlignment="1">
      <alignment vertical="center"/>
    </xf>
    <xf numFmtId="4" fontId="75" fillId="0" borderId="71" xfId="27" applyNumberFormat="1" applyFont="1" applyBorder="1" applyAlignment="1">
      <alignment vertical="center"/>
    </xf>
    <xf numFmtId="0" fontId="75" fillId="21" borderId="51" xfId="27" applyFont="1" applyFill="1" applyBorder="1" applyAlignment="1">
      <alignment horizontal="left" vertical="center" indent="4"/>
    </xf>
    <xf numFmtId="0" fontId="75" fillId="21" borderId="52" xfId="27" applyFont="1" applyFill="1" applyBorder="1" applyAlignment="1">
      <alignment horizontal="left" vertical="center" indent="4"/>
    </xf>
    <xf numFmtId="171" fontId="76" fillId="21" borderId="69" xfId="27" applyNumberFormat="1" applyFont="1" applyFill="1" applyBorder="1" applyAlignment="1">
      <alignment horizontal="right" vertical="center"/>
    </xf>
    <xf numFmtId="2" fontId="76" fillId="21" borderId="71" xfId="27" applyNumberFormat="1" applyFont="1" applyFill="1" applyBorder="1" applyAlignment="1">
      <alignment horizontal="right" vertical="center"/>
    </xf>
    <xf numFmtId="4" fontId="2" fillId="0" borderId="0" xfId="25" applyNumberFormat="1"/>
    <xf numFmtId="4" fontId="2" fillId="0" borderId="40" xfId="25" applyNumberFormat="1" applyBorder="1"/>
    <xf numFmtId="0" fontId="77" fillId="24" borderId="39" xfId="25" applyFont="1" applyFill="1" applyBorder="1"/>
    <xf numFmtId="0" fontId="77" fillId="24" borderId="0" xfId="25" applyFont="1" applyFill="1" applyAlignment="1">
      <alignment horizontal="center" vertical="center"/>
    </xf>
    <xf numFmtId="172" fontId="78" fillId="24" borderId="40" xfId="25" applyNumberFormat="1" applyFont="1" applyFill="1" applyBorder="1"/>
    <xf numFmtId="0" fontId="77" fillId="20" borderId="39" xfId="25" applyFont="1" applyFill="1" applyBorder="1"/>
    <xf numFmtId="0" fontId="77" fillId="20" borderId="0" xfId="25" applyFont="1" applyFill="1" applyAlignment="1">
      <alignment horizontal="center" vertical="center"/>
    </xf>
    <xf numFmtId="172" fontId="77" fillId="20" borderId="0" xfId="25" applyNumberFormat="1" applyFont="1" applyFill="1" applyAlignment="1">
      <alignment horizontal="center" vertical="center"/>
    </xf>
    <xf numFmtId="174" fontId="78" fillId="20" borderId="40" xfId="29" applyNumberFormat="1" applyFont="1" applyFill="1" applyBorder="1"/>
    <xf numFmtId="171" fontId="77" fillId="20" borderId="0" xfId="25" applyNumberFormat="1" applyFont="1" applyFill="1" applyAlignment="1">
      <alignment horizontal="center" vertical="center"/>
    </xf>
    <xf numFmtId="0" fontId="2" fillId="12" borderId="39" xfId="25" applyFill="1" applyBorder="1"/>
    <xf numFmtId="0" fontId="2" fillId="12" borderId="0" xfId="25" applyFill="1" applyAlignment="1">
      <alignment horizontal="center" vertical="center"/>
    </xf>
    <xf numFmtId="4" fontId="72" fillId="12" borderId="40" xfId="25" applyNumberFormat="1" applyFont="1" applyFill="1" applyBorder="1"/>
    <xf numFmtId="0" fontId="69" fillId="25" borderId="72" xfId="25" applyFont="1" applyFill="1" applyBorder="1"/>
    <xf numFmtId="0" fontId="69" fillId="25" borderId="17" xfId="25" applyFont="1" applyFill="1" applyBorder="1" applyAlignment="1">
      <alignment horizontal="center" vertical="center"/>
    </xf>
    <xf numFmtId="172" fontId="74" fillId="25" borderId="73" xfId="30" applyNumberFormat="1" applyFont="1" applyFill="1" applyBorder="1"/>
    <xf numFmtId="0" fontId="69" fillId="20" borderId="74" xfId="25" applyFont="1" applyFill="1" applyBorder="1"/>
    <xf numFmtId="0" fontId="79" fillId="20" borderId="42" xfId="25" applyFont="1" applyFill="1" applyBorder="1" applyAlignment="1">
      <alignment horizontal="center" vertical="center"/>
    </xf>
    <xf numFmtId="172" fontId="79" fillId="20" borderId="42" xfId="25" applyNumberFormat="1" applyFont="1" applyFill="1" applyBorder="1" applyAlignment="1">
      <alignment horizontal="center" vertical="center"/>
    </xf>
    <xf numFmtId="174" fontId="80" fillId="9" borderId="43" xfId="25" applyNumberFormat="1" applyFont="1" applyFill="1" applyBorder="1"/>
    <xf numFmtId="171" fontId="79" fillId="20" borderId="42" xfId="25" applyNumberFormat="1" applyFont="1" applyFill="1" applyBorder="1" applyAlignment="1">
      <alignment horizontal="center" vertical="center"/>
    </xf>
    <xf numFmtId="0" fontId="2" fillId="0" borderId="42" xfId="25" applyBorder="1"/>
    <xf numFmtId="4" fontId="2" fillId="0" borderId="42" xfId="25" applyNumberFormat="1" applyBorder="1"/>
    <xf numFmtId="0" fontId="2" fillId="0" borderId="43" xfId="25" applyBorder="1"/>
    <xf numFmtId="43" fontId="2" fillId="0" borderId="0" xfId="25" applyNumberFormat="1"/>
    <xf numFmtId="172" fontId="2" fillId="0" borderId="0" xfId="25" applyNumberFormat="1"/>
    <xf numFmtId="0" fontId="66" fillId="26" borderId="0" xfId="25" applyFont="1" applyFill="1" applyAlignment="1">
      <alignment horizontal="center"/>
    </xf>
    <xf numFmtId="0" fontId="2" fillId="27" borderId="0" xfId="25" applyFill="1" applyAlignment="1">
      <alignment horizontal="center" vertical="center" wrapText="1"/>
    </xf>
    <xf numFmtId="2" fontId="66" fillId="27" borderId="0" xfId="25" applyNumberFormat="1" applyFont="1" applyFill="1"/>
    <xf numFmtId="0" fontId="4" fillId="0" borderId="0" xfId="20"/>
    <xf numFmtId="0" fontId="66" fillId="26" borderId="0" xfId="20" applyFont="1" applyFill="1" applyAlignment="1">
      <alignment horizontal="center"/>
    </xf>
    <xf numFmtId="0" fontId="4" fillId="27" borderId="0" xfId="20" applyFill="1" applyAlignment="1">
      <alignment horizontal="center" vertical="center" wrapText="1"/>
    </xf>
    <xf numFmtId="2" fontId="66" fillId="27" borderId="0" xfId="20" applyNumberFormat="1" applyFont="1" applyFill="1"/>
    <xf numFmtId="0" fontId="3" fillId="24" borderId="75" xfId="27" applyFont="1" applyFill="1" applyBorder="1" applyAlignment="1">
      <alignment horizontal="center" vertical="center"/>
    </xf>
    <xf numFmtId="0" fontId="70" fillId="24" borderId="37" xfId="27" applyFont="1" applyFill="1" applyBorder="1" applyAlignment="1">
      <alignment horizontal="center" vertical="center"/>
    </xf>
    <xf numFmtId="4" fontId="70" fillId="24" borderId="76" xfId="27" applyNumberFormat="1" applyFont="1" applyFill="1" applyBorder="1" applyAlignment="1">
      <alignment horizontal="center" vertical="center"/>
    </xf>
    <xf numFmtId="4" fontId="58" fillId="24" borderId="38" xfId="27" applyNumberFormat="1" applyFont="1" applyFill="1" applyBorder="1" applyAlignment="1">
      <alignment horizontal="center" vertical="center" wrapText="1"/>
    </xf>
    <xf numFmtId="4" fontId="7" fillId="22" borderId="80" xfId="27" applyNumberFormat="1" applyFont="1" applyFill="1" applyBorder="1" applyAlignment="1">
      <alignment horizontal="center" vertical="center"/>
    </xf>
    <xf numFmtId="172" fontId="83" fillId="22" borderId="40" xfId="27" applyNumberFormat="1" applyFont="1" applyFill="1" applyBorder="1" applyAlignment="1">
      <alignment horizontal="right" vertical="center"/>
    </xf>
    <xf numFmtId="4" fontId="7" fillId="9" borderId="18" xfId="27" applyNumberFormat="1" applyFont="1" applyFill="1" applyBorder="1" applyAlignment="1">
      <alignment horizontal="center" vertical="center"/>
    </xf>
    <xf numFmtId="172" fontId="79" fillId="27" borderId="40" xfId="25" applyNumberFormat="1" applyFont="1" applyFill="1" applyBorder="1"/>
    <xf numFmtId="172" fontId="79" fillId="27" borderId="40" xfId="20" applyNumberFormat="1" applyFont="1" applyFill="1" applyBorder="1"/>
    <xf numFmtId="0" fontId="2" fillId="13" borderId="0" xfId="25" applyFill="1"/>
    <xf numFmtId="4" fontId="7" fillId="23" borderId="12" xfId="27" applyNumberFormat="1" applyFont="1" applyFill="1" applyBorder="1" applyAlignment="1">
      <alignment horizontal="center" vertical="center"/>
    </xf>
    <xf numFmtId="172" fontId="4" fillId="23" borderId="40" xfId="28" applyNumberFormat="1" applyFont="1" applyFill="1" applyBorder="1" applyAlignment="1">
      <alignment vertical="center"/>
    </xf>
    <xf numFmtId="0" fontId="8" fillId="22" borderId="81" xfId="27" applyFont="1" applyFill="1" applyBorder="1" applyAlignment="1">
      <alignment horizontal="center" vertical="center"/>
    </xf>
    <xf numFmtId="0" fontId="8" fillId="22" borderId="11" xfId="27" applyFont="1" applyFill="1" applyBorder="1" applyAlignment="1">
      <alignment vertical="center"/>
    </xf>
    <xf numFmtId="4" fontId="7" fillId="22" borderId="19" xfId="27" applyNumberFormat="1" applyFont="1" applyFill="1" applyBorder="1" applyAlignment="1">
      <alignment horizontal="center" vertical="center"/>
    </xf>
    <xf numFmtId="172" fontId="83" fillId="22" borderId="62" xfId="27" applyNumberFormat="1" applyFont="1" applyFill="1" applyBorder="1" applyAlignment="1">
      <alignment horizontal="right" vertical="center"/>
    </xf>
    <xf numFmtId="4" fontId="4" fillId="23" borderId="18" xfId="27" applyNumberFormat="1" applyFill="1" applyBorder="1" applyAlignment="1">
      <alignment horizontal="center" vertical="center"/>
    </xf>
    <xf numFmtId="4" fontId="4" fillId="23" borderId="12" xfId="27" applyNumberFormat="1" applyFill="1" applyBorder="1" applyAlignment="1">
      <alignment horizontal="center" vertical="center"/>
    </xf>
    <xf numFmtId="4" fontId="85" fillId="28" borderId="16" xfId="27" applyNumberFormat="1" applyFont="1" applyFill="1" applyBorder="1" applyAlignment="1">
      <alignment horizontal="center" vertical="center"/>
    </xf>
    <xf numFmtId="172" fontId="75" fillId="28" borderId="60" xfId="27" applyNumberFormat="1" applyFont="1" applyFill="1" applyBorder="1" applyAlignment="1">
      <alignment horizontal="right" vertical="center"/>
    </xf>
    <xf numFmtId="172" fontId="8" fillId="22" borderId="40" xfId="27" applyNumberFormat="1" applyFont="1" applyFill="1" applyBorder="1" applyAlignment="1">
      <alignment horizontal="right" vertical="center"/>
    </xf>
    <xf numFmtId="4" fontId="8" fillId="22" borderId="19" xfId="27" applyNumberFormat="1" applyFont="1" applyFill="1" applyBorder="1" applyAlignment="1">
      <alignment horizontal="center" vertical="center"/>
    </xf>
    <xf numFmtId="172" fontId="8" fillId="22" borderId="62" xfId="28" applyNumberFormat="1" applyFont="1" applyFill="1" applyBorder="1" applyAlignment="1">
      <alignment vertical="center"/>
    </xf>
    <xf numFmtId="0" fontId="7" fillId="22" borderId="0" xfId="31" applyFont="1" applyFill="1" applyAlignment="1">
      <alignment horizontal="left" vertical="center" indent="3"/>
    </xf>
    <xf numFmtId="172" fontId="86" fillId="28" borderId="60" xfId="27" applyNumberFormat="1" applyFont="1" applyFill="1" applyBorder="1" applyAlignment="1">
      <alignment horizontal="right" vertical="center"/>
    </xf>
    <xf numFmtId="172" fontId="83" fillId="22" borderId="40" xfId="28" applyNumberFormat="1" applyFont="1" applyFill="1" applyBorder="1" applyAlignment="1">
      <alignment vertical="center"/>
    </xf>
    <xf numFmtId="0" fontId="7" fillId="22" borderId="82" xfId="27" applyFont="1" applyFill="1" applyBorder="1" applyAlignment="1">
      <alignment horizontal="center" vertical="center"/>
    </xf>
    <xf numFmtId="0" fontId="7" fillId="22" borderId="13" xfId="27" applyFont="1" applyFill="1" applyBorder="1" applyAlignment="1">
      <alignment horizontal="left" vertical="center" indent="3"/>
    </xf>
    <xf numFmtId="172" fontId="4" fillId="23" borderId="58" xfId="28" applyNumberFormat="1" applyFont="1" applyFill="1" applyBorder="1" applyAlignment="1">
      <alignment vertical="center"/>
    </xf>
    <xf numFmtId="4" fontId="85" fillId="28" borderId="69" xfId="27" applyNumberFormat="1" applyFont="1" applyFill="1" applyBorder="1" applyAlignment="1">
      <alignment horizontal="center" vertical="center"/>
    </xf>
    <xf numFmtId="172" fontId="86" fillId="28" borderId="71" xfId="27" applyNumberFormat="1" applyFont="1" applyFill="1" applyBorder="1" applyAlignment="1">
      <alignment horizontal="right" vertical="center"/>
    </xf>
    <xf numFmtId="172" fontId="2" fillId="0" borderId="40" xfId="25" applyNumberFormat="1" applyBorder="1"/>
    <xf numFmtId="0" fontId="4" fillId="0" borderId="39" xfId="20" applyBorder="1"/>
    <xf numFmtId="4" fontId="4" fillId="0" borderId="0" xfId="20" applyNumberFormat="1"/>
    <xf numFmtId="172" fontId="4" fillId="0" borderId="40" xfId="20" applyNumberFormat="1" applyBorder="1"/>
    <xf numFmtId="4" fontId="87" fillId="28" borderId="52" xfId="27" applyNumberFormat="1" applyFont="1" applyFill="1" applyBorder="1" applyAlignment="1">
      <alignment horizontal="center" vertical="center"/>
    </xf>
    <xf numFmtId="172" fontId="75" fillId="28" borderId="47" xfId="27" applyNumberFormat="1" applyFont="1" applyFill="1" applyBorder="1" applyAlignment="1">
      <alignment horizontal="right" vertical="center"/>
    </xf>
    <xf numFmtId="0" fontId="79" fillId="29" borderId="41" xfId="25" applyFont="1" applyFill="1" applyBorder="1"/>
    <xf numFmtId="0" fontId="79" fillId="29" borderId="42" xfId="25" applyFont="1" applyFill="1" applyBorder="1"/>
    <xf numFmtId="173" fontId="79" fillId="29" borderId="42" xfId="25" applyNumberFormat="1" applyFont="1" applyFill="1" applyBorder="1"/>
    <xf numFmtId="176" fontId="79" fillId="29" borderId="43" xfId="25" applyNumberFormat="1" applyFont="1" applyFill="1" applyBorder="1"/>
    <xf numFmtId="0" fontId="79" fillId="29" borderId="41" xfId="20" applyFont="1" applyFill="1" applyBorder="1"/>
    <xf numFmtId="0" fontId="79" fillId="29" borderId="42" xfId="20" applyFont="1" applyFill="1" applyBorder="1"/>
    <xf numFmtId="173" fontId="79" fillId="29" borderId="42" xfId="20" applyNumberFormat="1" applyFont="1" applyFill="1" applyBorder="1"/>
    <xf numFmtId="176" fontId="79" fillId="29" borderId="43" xfId="20" applyNumberFormat="1" applyFont="1" applyFill="1" applyBorder="1"/>
    <xf numFmtId="4" fontId="4" fillId="0" borderId="40" xfId="20" applyNumberFormat="1" applyBorder="1"/>
    <xf numFmtId="0" fontId="7" fillId="22" borderId="83" xfId="27" applyFont="1" applyFill="1" applyBorder="1" applyAlignment="1">
      <alignment vertical="center"/>
    </xf>
    <xf numFmtId="172" fontId="71" fillId="22" borderId="40" xfId="28" applyNumberFormat="1" applyFont="1" applyFill="1" applyBorder="1" applyAlignment="1">
      <alignment vertical="center"/>
    </xf>
    <xf numFmtId="0" fontId="7" fillId="22" borderId="0" xfId="20" applyFont="1" applyFill="1" applyAlignment="1">
      <alignment horizontal="left" vertical="center" indent="3"/>
    </xf>
    <xf numFmtId="172" fontId="72" fillId="23" borderId="40" xfId="28" applyNumberFormat="1" applyFont="1" applyFill="1" applyBorder="1" applyAlignment="1">
      <alignment vertical="center"/>
    </xf>
    <xf numFmtId="2" fontId="4" fillId="12" borderId="53" xfId="27" applyNumberFormat="1" applyFill="1" applyBorder="1" applyAlignment="1">
      <alignment horizontal="center" vertical="center"/>
    </xf>
    <xf numFmtId="172" fontId="71" fillId="12" borderId="40" xfId="28" applyNumberFormat="1" applyFont="1" applyFill="1" applyBorder="1" applyAlignment="1">
      <alignment vertical="center"/>
    </xf>
    <xf numFmtId="172" fontId="88" fillId="9" borderId="40" xfId="28" applyNumberFormat="1" applyFont="1" applyFill="1" applyBorder="1" applyAlignment="1">
      <alignment vertical="center"/>
    </xf>
    <xf numFmtId="2" fontId="4" fillId="23" borderId="84" xfId="27" applyNumberFormat="1" applyFill="1" applyBorder="1" applyAlignment="1">
      <alignment horizontal="center" vertical="center"/>
    </xf>
    <xf numFmtId="0" fontId="75" fillId="0" borderId="85" xfId="27" applyFont="1" applyBorder="1" applyAlignment="1">
      <alignment vertical="center"/>
    </xf>
    <xf numFmtId="172" fontId="75" fillId="0" borderId="43" xfId="27" applyNumberFormat="1" applyFont="1" applyBorder="1" applyAlignment="1">
      <alignment vertical="center"/>
    </xf>
    <xf numFmtId="173" fontId="76" fillId="30" borderId="69" xfId="27" applyNumberFormat="1" applyFont="1" applyFill="1" applyBorder="1" applyAlignment="1">
      <alignment horizontal="right" vertical="center"/>
    </xf>
    <xf numFmtId="176" fontId="76" fillId="30" borderId="71" xfId="27" applyNumberFormat="1" applyFont="1" applyFill="1" applyBorder="1" applyAlignment="1">
      <alignment horizontal="right" vertical="center"/>
    </xf>
    <xf numFmtId="0" fontId="77" fillId="24" borderId="39" xfId="20" applyFont="1" applyFill="1" applyBorder="1"/>
    <xf numFmtId="0" fontId="77" fillId="24" borderId="0" xfId="20" applyFont="1" applyFill="1" applyAlignment="1">
      <alignment horizontal="center" vertical="center"/>
    </xf>
    <xf numFmtId="172" fontId="78" fillId="24" borderId="40" xfId="20" applyNumberFormat="1" applyFont="1" applyFill="1" applyBorder="1"/>
    <xf numFmtId="173" fontId="77" fillId="24" borderId="0" xfId="25" applyNumberFormat="1" applyFont="1" applyFill="1" applyAlignment="1">
      <alignment horizontal="center" vertical="center"/>
    </xf>
    <xf numFmtId="176" fontId="78" fillId="24" borderId="40" xfId="25" applyNumberFormat="1" applyFont="1" applyFill="1" applyBorder="1"/>
    <xf numFmtId="173" fontId="77" fillId="24" borderId="0" xfId="20" applyNumberFormat="1" applyFont="1" applyFill="1" applyAlignment="1">
      <alignment horizontal="center" vertical="center"/>
    </xf>
    <xf numFmtId="176" fontId="78" fillId="24" borderId="40" xfId="20" applyNumberFormat="1" applyFont="1" applyFill="1" applyBorder="1"/>
    <xf numFmtId="0" fontId="4" fillId="12" borderId="39" xfId="20" applyFill="1" applyBorder="1"/>
    <xf numFmtId="0" fontId="4" fillId="12" borderId="0" xfId="20" applyFill="1" applyAlignment="1">
      <alignment horizontal="center" vertical="center"/>
    </xf>
    <xf numFmtId="4" fontId="72" fillId="12" borderId="40" xfId="20" applyNumberFormat="1" applyFont="1" applyFill="1" applyBorder="1"/>
    <xf numFmtId="0" fontId="69" fillId="31" borderId="72" xfId="25" applyFont="1" applyFill="1" applyBorder="1"/>
    <xf numFmtId="0" fontId="69" fillId="31" borderId="17" xfId="25" applyFont="1" applyFill="1" applyBorder="1" applyAlignment="1">
      <alignment horizontal="center" vertical="center"/>
    </xf>
    <xf numFmtId="173" fontId="74" fillId="31" borderId="73" xfId="30" applyNumberFormat="1" applyFont="1" applyFill="1" applyBorder="1"/>
    <xf numFmtId="0" fontId="69" fillId="31" borderId="72" xfId="20" applyFont="1" applyFill="1" applyBorder="1"/>
    <xf numFmtId="0" fontId="69" fillId="31" borderId="17" xfId="20" applyFont="1" applyFill="1" applyBorder="1" applyAlignment="1">
      <alignment horizontal="center" vertical="center"/>
    </xf>
    <xf numFmtId="0" fontId="69" fillId="30" borderId="74" xfId="25" applyFont="1" applyFill="1" applyBorder="1"/>
    <xf numFmtId="0" fontId="79" fillId="30" borderId="42" xfId="25" applyFont="1" applyFill="1" applyBorder="1" applyAlignment="1">
      <alignment horizontal="center" vertical="center"/>
    </xf>
    <xf numFmtId="173" fontId="79" fillId="30" borderId="42" xfId="25" applyNumberFormat="1" applyFont="1" applyFill="1" applyBorder="1" applyAlignment="1">
      <alignment horizontal="center" vertical="center"/>
    </xf>
    <xf numFmtId="176" fontId="88" fillId="30" borderId="43" xfId="25" applyNumberFormat="1" applyFont="1" applyFill="1" applyBorder="1"/>
    <xf numFmtId="0" fontId="69" fillId="30" borderId="74" xfId="20" applyFont="1" applyFill="1" applyBorder="1"/>
    <xf numFmtId="0" fontId="79" fillId="30" borderId="42" xfId="20" applyFont="1" applyFill="1" applyBorder="1" applyAlignment="1">
      <alignment horizontal="center" vertical="center"/>
    </xf>
    <xf numFmtId="173" fontId="79" fillId="30" borderId="42" xfId="20" applyNumberFormat="1" applyFont="1" applyFill="1" applyBorder="1" applyAlignment="1">
      <alignment horizontal="center" vertical="center"/>
    </xf>
    <xf numFmtId="176" fontId="88" fillId="30" borderId="43" xfId="20" applyNumberFormat="1" applyFont="1" applyFill="1" applyBorder="1"/>
    <xf numFmtId="0" fontId="66" fillId="26" borderId="0" xfId="25" applyFont="1" applyFill="1"/>
    <xf numFmtId="0" fontId="66" fillId="0" borderId="0" xfId="25" applyFont="1" applyAlignment="1">
      <alignment horizontal="center"/>
    </xf>
    <xf numFmtId="0" fontId="2" fillId="0" borderId="0" xfId="25" applyAlignment="1">
      <alignment horizontal="center" vertical="center" wrapText="1"/>
    </xf>
    <xf numFmtId="2" fontId="66" fillId="0" borderId="0" xfId="25" applyNumberFormat="1" applyFont="1"/>
    <xf numFmtId="0" fontId="3" fillId="0" borderId="0" xfId="27" applyFont="1" applyAlignment="1">
      <alignment horizontal="center" vertical="center"/>
    </xf>
    <xf numFmtId="0" fontId="70" fillId="0" borderId="0" xfId="27" applyFont="1" applyAlignment="1">
      <alignment horizontal="center" vertical="center"/>
    </xf>
    <xf numFmtId="4" fontId="70" fillId="0" borderId="0" xfId="27" applyNumberFormat="1" applyFont="1" applyAlignment="1">
      <alignment horizontal="center" vertical="center"/>
    </xf>
    <xf numFmtId="4" fontId="58" fillId="0" borderId="0" xfId="27" applyNumberFormat="1" applyFont="1" applyAlignment="1">
      <alignment horizontal="center" vertical="center" wrapText="1"/>
    </xf>
    <xf numFmtId="0" fontId="8" fillId="0" borderId="0" xfId="27" applyFont="1" applyAlignment="1">
      <alignment horizontal="center" vertical="center"/>
    </xf>
    <xf numFmtId="0" fontId="8" fillId="0" borderId="0" xfId="27" applyFont="1" applyAlignment="1">
      <alignment vertical="center"/>
    </xf>
    <xf numFmtId="4" fontId="7" fillId="0" borderId="0" xfId="27" applyNumberFormat="1" applyFont="1" applyAlignment="1">
      <alignment horizontal="center" vertical="center"/>
    </xf>
    <xf numFmtId="172" fontId="83" fillId="0" borderId="0" xfId="27" applyNumberFormat="1" applyFont="1" applyAlignment="1">
      <alignment horizontal="right" vertical="center"/>
    </xf>
    <xf numFmtId="0" fontId="7" fillId="0" borderId="0" xfId="27" applyFont="1" applyAlignment="1">
      <alignment horizontal="center" vertical="center"/>
    </xf>
    <xf numFmtId="0" fontId="7" fillId="0" borderId="0" xfId="27" applyFont="1" applyAlignment="1">
      <alignment horizontal="left" vertical="center" indent="3"/>
    </xf>
    <xf numFmtId="172" fontId="79" fillId="0" borderId="0" xfId="25" applyNumberFormat="1" applyFont="1"/>
    <xf numFmtId="172" fontId="4" fillId="0" borderId="0" xfId="28" applyNumberFormat="1" applyFont="1" applyFill="1" applyBorder="1" applyAlignment="1">
      <alignment vertical="center"/>
    </xf>
    <xf numFmtId="4" fontId="4" fillId="0" borderId="0" xfId="27" applyNumberFormat="1" applyAlignment="1">
      <alignment horizontal="center" vertical="center"/>
    </xf>
    <xf numFmtId="4" fontId="85" fillId="0" borderId="0" xfId="27" applyNumberFormat="1" applyFont="1" applyAlignment="1">
      <alignment horizontal="center" vertical="center"/>
    </xf>
    <xf numFmtId="172" fontId="75" fillId="0" borderId="0" xfId="27" applyNumberFormat="1" applyFont="1" applyAlignment="1">
      <alignment horizontal="right" vertical="center"/>
    </xf>
    <xf numFmtId="172" fontId="8" fillId="0" borderId="0" xfId="27" applyNumberFormat="1" applyFont="1" applyAlignment="1">
      <alignment horizontal="right" vertical="center"/>
    </xf>
    <xf numFmtId="4" fontId="8" fillId="0" borderId="0" xfId="27" applyNumberFormat="1" applyFont="1" applyAlignment="1">
      <alignment horizontal="center" vertical="center"/>
    </xf>
    <xf numFmtId="172" fontId="8" fillId="0" borderId="0" xfId="28" applyNumberFormat="1" applyFont="1" applyFill="1" applyBorder="1" applyAlignment="1">
      <alignment vertical="center"/>
    </xf>
    <xf numFmtId="0" fontId="7" fillId="0" borderId="0" xfId="31" applyFont="1" applyAlignment="1">
      <alignment horizontal="left" vertical="center" indent="3"/>
    </xf>
    <xf numFmtId="172" fontId="86" fillId="0" borderId="0" xfId="27" applyNumberFormat="1" applyFont="1" applyAlignment="1">
      <alignment horizontal="right" vertical="center"/>
    </xf>
    <xf numFmtId="172" fontId="83" fillId="0" borderId="0" xfId="28" applyNumberFormat="1" applyFont="1" applyFill="1" applyBorder="1" applyAlignment="1">
      <alignment vertical="center"/>
    </xf>
    <xf numFmtId="4" fontId="87" fillId="0" borderId="0" xfId="27" applyNumberFormat="1" applyFont="1" applyAlignment="1">
      <alignment horizontal="center" vertical="center"/>
    </xf>
    <xf numFmtId="0" fontId="79" fillId="0" borderId="0" xfId="25" applyFont="1"/>
    <xf numFmtId="173" fontId="79" fillId="0" borderId="0" xfId="25" applyNumberFormat="1" applyFont="1"/>
    <xf numFmtId="176" fontId="79" fillId="0" borderId="0" xfId="25" applyNumberFormat="1" applyFont="1"/>
    <xf numFmtId="0" fontId="7" fillId="0" borderId="0" xfId="27" applyFont="1" applyAlignment="1">
      <alignment vertical="center"/>
    </xf>
    <xf numFmtId="172" fontId="71" fillId="0" borderId="0" xfId="28" applyNumberFormat="1" applyFont="1" applyFill="1" applyBorder="1" applyAlignment="1">
      <alignment vertical="center"/>
    </xf>
    <xf numFmtId="0" fontId="7" fillId="0" borderId="0" xfId="25" applyFont="1" applyAlignment="1">
      <alignment horizontal="left" vertical="center" indent="3"/>
    </xf>
    <xf numFmtId="2" fontId="4" fillId="0" borderId="0" xfId="27" applyNumberFormat="1" applyAlignment="1">
      <alignment vertical="center"/>
    </xf>
    <xf numFmtId="4" fontId="72" fillId="0" borderId="0" xfId="28" applyNumberFormat="1" applyFont="1" applyFill="1" applyBorder="1" applyAlignment="1">
      <alignment vertical="center"/>
    </xf>
    <xf numFmtId="4" fontId="72" fillId="0" borderId="0" xfId="27" applyNumberFormat="1" applyFont="1" applyAlignment="1">
      <alignment horizontal="right" vertical="center"/>
    </xf>
    <xf numFmtId="172" fontId="72" fillId="0" borderId="0" xfId="28" applyNumberFormat="1" applyFont="1" applyFill="1" applyBorder="1" applyAlignment="1">
      <alignment vertical="center"/>
    </xf>
    <xf numFmtId="4" fontId="71" fillId="0" borderId="0" xfId="27" applyNumberFormat="1" applyFont="1" applyAlignment="1">
      <alignment horizontal="right" vertical="center"/>
    </xf>
    <xf numFmtId="2" fontId="4" fillId="0" borderId="0" xfId="27" applyNumberFormat="1" applyAlignment="1">
      <alignment horizontal="center" vertical="center"/>
    </xf>
    <xf numFmtId="2" fontId="72" fillId="0" borderId="0" xfId="28" applyNumberFormat="1" applyFont="1" applyFill="1" applyBorder="1" applyAlignment="1">
      <alignment vertical="center"/>
    </xf>
    <xf numFmtId="172" fontId="88" fillId="0" borderId="0" xfId="28" applyNumberFormat="1" applyFont="1" applyFill="1" applyBorder="1" applyAlignment="1">
      <alignment vertical="center"/>
    </xf>
    <xf numFmtId="0" fontId="75" fillId="0" borderId="0" xfId="27" applyFont="1" applyAlignment="1">
      <alignment vertical="center"/>
    </xf>
    <xf numFmtId="172" fontId="75" fillId="0" borderId="0" xfId="27" applyNumberFormat="1" applyFont="1" applyAlignment="1">
      <alignment vertical="center"/>
    </xf>
    <xf numFmtId="173" fontId="76" fillId="0" borderId="0" xfId="27" applyNumberFormat="1" applyFont="1" applyAlignment="1">
      <alignment horizontal="right" vertical="center"/>
    </xf>
    <xf numFmtId="176" fontId="76" fillId="0" borderId="0" xfId="27" applyNumberFormat="1" applyFont="1" applyAlignment="1">
      <alignment horizontal="right" vertical="center"/>
    </xf>
    <xf numFmtId="0" fontId="77" fillId="0" borderId="0" xfId="25" applyFont="1"/>
    <xf numFmtId="0" fontId="77" fillId="0" borderId="0" xfId="25" applyFont="1" applyAlignment="1">
      <alignment horizontal="center" vertical="center"/>
    </xf>
    <xf numFmtId="172" fontId="78" fillId="0" borderId="0" xfId="25" applyNumberFormat="1" applyFont="1"/>
    <xf numFmtId="173" fontId="77" fillId="0" borderId="0" xfId="25" applyNumberFormat="1" applyFont="1" applyAlignment="1">
      <alignment horizontal="center" vertical="center"/>
    </xf>
    <xf numFmtId="176" fontId="78" fillId="0" borderId="0" xfId="25" applyNumberFormat="1" applyFont="1"/>
    <xf numFmtId="0" fontId="2" fillId="0" borderId="0" xfId="25" applyAlignment="1">
      <alignment horizontal="center" vertical="center"/>
    </xf>
    <xf numFmtId="4" fontId="72" fillId="0" borderId="0" xfId="25" applyNumberFormat="1" applyFont="1"/>
    <xf numFmtId="0" fontId="69" fillId="0" borderId="0" xfId="25" applyFont="1"/>
    <xf numFmtId="0" fontId="69" fillId="0" borderId="0" xfId="25" applyFont="1" applyAlignment="1">
      <alignment horizontal="center" vertical="center"/>
    </xf>
    <xf numFmtId="173" fontId="74" fillId="0" borderId="0" xfId="30" applyNumberFormat="1" applyFont="1" applyFill="1" applyBorder="1"/>
    <xf numFmtId="0" fontId="79" fillId="0" borderId="0" xfId="25" applyFont="1" applyAlignment="1">
      <alignment horizontal="center" vertical="center"/>
    </xf>
    <xf numFmtId="173" fontId="79" fillId="0" borderId="0" xfId="25" applyNumberFormat="1" applyFont="1" applyAlignment="1">
      <alignment horizontal="center" vertical="center"/>
    </xf>
    <xf numFmtId="176" fontId="88" fillId="0" borderId="0" xfId="25" applyNumberFormat="1" applyFont="1"/>
    <xf numFmtId="0" fontId="2" fillId="0" borderId="0" xfId="32"/>
    <xf numFmtId="4" fontId="2" fillId="0" borderId="0" xfId="32" applyNumberFormat="1"/>
    <xf numFmtId="0" fontId="89" fillId="0" borderId="0" xfId="33" applyAlignment="1"/>
    <xf numFmtId="0" fontId="2" fillId="0" borderId="39" xfId="34" applyFont="1" applyBorder="1"/>
    <xf numFmtId="0" fontId="2" fillId="0" borderId="0" xfId="34" applyFont="1"/>
    <xf numFmtId="4" fontId="2" fillId="0" borderId="0" xfId="34" applyNumberFormat="1" applyFont="1"/>
    <xf numFmtId="4" fontId="2" fillId="0" borderId="36" xfId="34" applyNumberFormat="1" applyFont="1" applyBorder="1"/>
    <xf numFmtId="4" fontId="2" fillId="0" borderId="37" xfId="34" applyNumberFormat="1" applyFont="1" applyBorder="1"/>
    <xf numFmtId="0" fontId="2" fillId="0" borderId="38" xfId="34" applyFont="1" applyBorder="1"/>
    <xf numFmtId="4" fontId="2" fillId="0" borderId="39" xfId="34" applyNumberFormat="1" applyFont="1" applyBorder="1"/>
    <xf numFmtId="0" fontId="2" fillId="0" borderId="40" xfId="34" applyFont="1" applyBorder="1"/>
    <xf numFmtId="0" fontId="66" fillId="0" borderId="39" xfId="32" applyFont="1" applyBorder="1" applyAlignment="1">
      <alignment vertical="center"/>
    </xf>
    <xf numFmtId="0" fontId="91" fillId="0" borderId="0" xfId="35" applyFont="1" applyAlignment="1">
      <alignment vertical="center" wrapText="1"/>
    </xf>
    <xf numFmtId="0" fontId="91" fillId="0" borderId="39" xfId="35" applyFont="1" applyBorder="1" applyAlignment="1">
      <alignment vertical="center" wrapText="1"/>
    </xf>
    <xf numFmtId="0" fontId="2" fillId="0" borderId="40" xfId="32" applyBorder="1"/>
    <xf numFmtId="0" fontId="2" fillId="0" borderId="39" xfId="32" applyBorder="1"/>
    <xf numFmtId="4" fontId="2" fillId="0" borderId="39" xfId="32" applyNumberFormat="1" applyBorder="1"/>
    <xf numFmtId="0" fontId="66" fillId="0" borderId="39" xfId="32" applyFont="1" applyBorder="1"/>
    <xf numFmtId="14" fontId="2" fillId="0" borderId="0" xfId="32" applyNumberFormat="1" applyAlignment="1">
      <alignment horizontal="left"/>
    </xf>
    <xf numFmtId="4" fontId="2" fillId="0" borderId="41" xfId="34" applyNumberFormat="1" applyFont="1" applyBorder="1"/>
    <xf numFmtId="4" fontId="2" fillId="0" borderId="42" xfId="34" applyNumberFormat="1" applyFont="1" applyBorder="1"/>
    <xf numFmtId="0" fontId="2" fillId="0" borderId="43" xfId="34" applyFont="1" applyBorder="1"/>
    <xf numFmtId="0" fontId="3" fillId="0" borderId="39" xfId="34" applyFont="1" applyBorder="1"/>
    <xf numFmtId="0" fontId="3" fillId="0" borderId="0" xfId="34" applyFont="1"/>
    <xf numFmtId="4" fontId="3" fillId="0" borderId="0" xfId="34" applyNumberFormat="1" applyFont="1"/>
    <xf numFmtId="4" fontId="3" fillId="33" borderId="51" xfId="34" applyNumberFormat="1" applyFont="1" applyFill="1" applyBorder="1"/>
    <xf numFmtId="4" fontId="8" fillId="33" borderId="52" xfId="34" applyNumberFormat="1" applyFont="1" applyFill="1" applyBorder="1"/>
    <xf numFmtId="4" fontId="8" fillId="33" borderId="47" xfId="34" applyNumberFormat="1" applyFont="1" applyFill="1" applyBorder="1" applyAlignment="1">
      <alignment horizontal="right"/>
    </xf>
    <xf numFmtId="4" fontId="8" fillId="33" borderId="47" xfId="34" applyNumberFormat="1" applyFont="1" applyFill="1" applyBorder="1"/>
    <xf numFmtId="4" fontId="2" fillId="0" borderId="40" xfId="34" applyNumberFormat="1" applyFont="1" applyBorder="1"/>
    <xf numFmtId="0" fontId="93" fillId="0" borderId="39" xfId="34" applyFont="1" applyBorder="1"/>
    <xf numFmtId="0" fontId="94" fillId="0" borderId="40" xfId="34" applyFont="1" applyBorder="1"/>
    <xf numFmtId="0" fontId="94" fillId="0" borderId="0" xfId="34" applyFont="1"/>
    <xf numFmtId="4" fontId="94" fillId="0" borderId="39" xfId="34" applyNumberFormat="1" applyFont="1" applyBorder="1"/>
    <xf numFmtId="4" fontId="94" fillId="0" borderId="40" xfId="34" applyNumberFormat="1" applyFont="1" applyBorder="1"/>
    <xf numFmtId="4" fontId="94" fillId="0" borderId="0" xfId="34" applyNumberFormat="1" applyFont="1"/>
    <xf numFmtId="0" fontId="95" fillId="0" borderId="0" xfId="33" applyFont="1" applyAlignment="1"/>
    <xf numFmtId="0" fontId="32" fillId="0" borderId="40" xfId="34" applyFont="1" applyBorder="1"/>
    <xf numFmtId="0" fontId="94" fillId="0" borderId="0" xfId="34" applyFont="1" applyAlignment="1">
      <alignment horizontal="center"/>
    </xf>
    <xf numFmtId="2" fontId="94" fillId="0" borderId="0" xfId="34" applyNumberFormat="1" applyFont="1" applyAlignment="1">
      <alignment horizontal="center"/>
    </xf>
    <xf numFmtId="4" fontId="94" fillId="0" borderId="39" xfId="34" applyNumberFormat="1" applyFont="1" applyBorder="1" applyAlignment="1">
      <alignment horizontal="center"/>
    </xf>
    <xf numFmtId="4" fontId="94" fillId="0" borderId="40" xfId="34" applyNumberFormat="1" applyFont="1" applyBorder="1" applyAlignment="1">
      <alignment horizontal="center"/>
    </xf>
    <xf numFmtId="10" fontId="94" fillId="0" borderId="0" xfId="34" applyNumberFormat="1" applyFont="1"/>
    <xf numFmtId="0" fontId="94" fillId="0" borderId="39" xfId="34" applyFont="1" applyBorder="1"/>
    <xf numFmtId="4" fontId="93" fillId="0" borderId="39" xfId="34" applyNumberFormat="1" applyFont="1" applyBorder="1" applyAlignment="1">
      <alignment horizontal="center"/>
    </xf>
    <xf numFmtId="4" fontId="93" fillId="0" borderId="40" xfId="34" applyNumberFormat="1" applyFont="1" applyBorder="1" applyAlignment="1">
      <alignment horizontal="center"/>
    </xf>
    <xf numFmtId="4" fontId="93" fillId="0" borderId="0" xfId="34" applyNumberFormat="1" applyFont="1" applyAlignment="1">
      <alignment horizontal="center"/>
    </xf>
    <xf numFmtId="4" fontId="93" fillId="0" borderId="0" xfId="34" applyNumberFormat="1" applyFont="1"/>
    <xf numFmtId="4" fontId="93" fillId="0" borderId="86" xfId="34" applyNumberFormat="1" applyFont="1" applyBorder="1"/>
    <xf numFmtId="0" fontId="96" fillId="0" borderId="36" xfId="34" applyFont="1" applyBorder="1"/>
    <xf numFmtId="0" fontId="94" fillId="0" borderId="38" xfId="34" applyFont="1" applyBorder="1"/>
    <xf numFmtId="0" fontId="94" fillId="0" borderId="37" xfId="34" applyFont="1" applyBorder="1" applyAlignment="1">
      <alignment horizontal="center"/>
    </xf>
    <xf numFmtId="2" fontId="94" fillId="0" borderId="37" xfId="34" applyNumberFormat="1" applyFont="1" applyBorder="1" applyAlignment="1">
      <alignment horizontal="center"/>
    </xf>
    <xf numFmtId="4" fontId="93" fillId="0" borderId="36" xfId="34" applyNumberFormat="1" applyFont="1" applyBorder="1" applyAlignment="1">
      <alignment horizontal="center"/>
    </xf>
    <xf numFmtId="4" fontId="93" fillId="0" borderId="38" xfId="34" applyNumberFormat="1" applyFont="1" applyBorder="1" applyAlignment="1">
      <alignment horizontal="center"/>
    </xf>
    <xf numFmtId="4" fontId="93" fillId="0" borderId="37" xfId="34" applyNumberFormat="1" applyFont="1" applyBorder="1" applyAlignment="1">
      <alignment horizontal="center"/>
    </xf>
    <xf numFmtId="4" fontId="94" fillId="0" borderId="37" xfId="34" applyNumberFormat="1" applyFont="1" applyBorder="1"/>
    <xf numFmtId="0" fontId="95" fillId="0" borderId="40" xfId="34" applyFont="1" applyBorder="1"/>
    <xf numFmtId="0" fontId="94" fillId="0" borderId="41" xfId="34" applyFont="1" applyBorder="1"/>
    <xf numFmtId="0" fontId="94" fillId="0" borderId="43" xfId="34" applyFont="1" applyBorder="1"/>
    <xf numFmtId="4" fontId="94" fillId="0" borderId="42" xfId="34" applyNumberFormat="1" applyFont="1" applyBorder="1" applyAlignment="1">
      <alignment horizontal="center"/>
    </xf>
    <xf numFmtId="2" fontId="94" fillId="0" borderId="42" xfId="34" applyNumberFormat="1" applyFont="1" applyBorder="1" applyAlignment="1">
      <alignment horizontal="center"/>
    </xf>
    <xf numFmtId="4" fontId="94" fillId="0" borderId="41" xfId="34" applyNumberFormat="1" applyFont="1" applyBorder="1" applyAlignment="1">
      <alignment horizontal="center"/>
    </xf>
    <xf numFmtId="4" fontId="93" fillId="0" borderId="43" xfId="34" applyNumberFormat="1" applyFont="1" applyBorder="1" applyAlignment="1">
      <alignment horizontal="center"/>
    </xf>
    <xf numFmtId="4" fontId="94" fillId="0" borderId="42" xfId="34" applyNumberFormat="1" applyFont="1" applyBorder="1"/>
    <xf numFmtId="4" fontId="93" fillId="0" borderId="42" xfId="34" applyNumberFormat="1" applyFont="1" applyBorder="1"/>
    <xf numFmtId="4" fontId="93" fillId="0" borderId="87" xfId="34" applyNumberFormat="1" applyFont="1" applyBorder="1"/>
    <xf numFmtId="4" fontId="95" fillId="0" borderId="0" xfId="33" applyNumberFormat="1" applyFont="1" applyAlignment="1"/>
    <xf numFmtId="10" fontId="94" fillId="23" borderId="0" xfId="34" applyNumberFormat="1" applyFont="1" applyFill="1"/>
    <xf numFmtId="2" fontId="95" fillId="0" borderId="0" xfId="34" applyNumberFormat="1" applyFont="1" applyAlignment="1">
      <alignment horizontal="center"/>
    </xf>
    <xf numFmtId="49" fontId="97" fillId="0" borderId="39" xfId="34" applyNumberFormat="1" applyFont="1" applyBorder="1"/>
    <xf numFmtId="0" fontId="32" fillId="0" borderId="0" xfId="34" applyFont="1"/>
    <xf numFmtId="0" fontId="32" fillId="0" borderId="39" xfId="34" applyFont="1" applyBorder="1" applyAlignment="1">
      <alignment horizontal="center"/>
    </xf>
    <xf numFmtId="2" fontId="32" fillId="0" borderId="40" xfId="34" applyNumberFormat="1" applyFont="1" applyBorder="1" applyAlignment="1">
      <alignment horizontal="center"/>
    </xf>
    <xf numFmtId="0" fontId="32" fillId="0" borderId="0" xfId="34" applyFont="1" applyAlignment="1">
      <alignment horizontal="center"/>
    </xf>
    <xf numFmtId="10" fontId="32" fillId="0" borderId="0" xfId="34" applyNumberFormat="1" applyFont="1"/>
    <xf numFmtId="4" fontId="32" fillId="0" borderId="0" xfId="34" applyNumberFormat="1" applyFont="1"/>
    <xf numFmtId="4" fontId="32" fillId="0" borderId="40" xfId="34" applyNumberFormat="1" applyFont="1" applyBorder="1"/>
    <xf numFmtId="177" fontId="89" fillId="0" borderId="0" xfId="33" applyNumberFormat="1" applyAlignment="1"/>
    <xf numFmtId="178" fontId="89" fillId="0" borderId="0" xfId="33" applyNumberFormat="1" applyAlignment="1"/>
    <xf numFmtId="0" fontId="95" fillId="0" borderId="0" xfId="34" applyFont="1" applyAlignment="1">
      <alignment horizontal="center"/>
    </xf>
    <xf numFmtId="0" fontId="94" fillId="23" borderId="39" xfId="34" applyFont="1" applyFill="1" applyBorder="1"/>
    <xf numFmtId="0" fontId="94" fillId="23" borderId="40" xfId="34" applyFont="1" applyFill="1" applyBorder="1"/>
    <xf numFmtId="0" fontId="94" fillId="23" borderId="0" xfId="34" applyFont="1" applyFill="1" applyAlignment="1">
      <alignment horizontal="center"/>
    </xf>
    <xf numFmtId="2" fontId="94" fillId="23" borderId="0" xfId="34" applyNumberFormat="1" applyFont="1" applyFill="1" applyAlignment="1">
      <alignment horizontal="center"/>
    </xf>
    <xf numFmtId="4" fontId="94" fillId="23" borderId="39" xfId="34" applyNumberFormat="1" applyFont="1" applyFill="1" applyBorder="1" applyAlignment="1">
      <alignment horizontal="center"/>
    </xf>
    <xf numFmtId="4" fontId="93" fillId="23" borderId="40" xfId="34" applyNumberFormat="1" applyFont="1" applyFill="1" applyBorder="1" applyAlignment="1">
      <alignment horizontal="center"/>
    </xf>
    <xf numFmtId="4" fontId="94" fillId="23" borderId="0" xfId="34" applyNumberFormat="1" applyFont="1" applyFill="1"/>
    <xf numFmtId="4" fontId="93" fillId="23" borderId="0" xfId="34" applyNumberFormat="1" applyFont="1" applyFill="1"/>
    <xf numFmtId="4" fontId="93" fillId="23" borderId="86" xfId="34" applyNumberFormat="1" applyFont="1" applyFill="1" applyBorder="1"/>
    <xf numFmtId="0" fontId="93" fillId="23" borderId="36" xfId="34" applyFont="1" applyFill="1" applyBorder="1"/>
    <xf numFmtId="0" fontId="94" fillId="23" borderId="38" xfId="34" applyFont="1" applyFill="1" applyBorder="1"/>
    <xf numFmtId="0" fontId="94" fillId="23" borderId="37" xfId="34" applyFont="1" applyFill="1" applyBorder="1" applyAlignment="1">
      <alignment horizontal="center"/>
    </xf>
    <xf numFmtId="2" fontId="94" fillId="23" borderId="37" xfId="34" applyNumberFormat="1" applyFont="1" applyFill="1" applyBorder="1" applyAlignment="1">
      <alignment horizontal="center"/>
    </xf>
    <xf numFmtId="4" fontId="94" fillId="23" borderId="36" xfId="34" applyNumberFormat="1" applyFont="1" applyFill="1" applyBorder="1" applyAlignment="1">
      <alignment horizontal="center"/>
    </xf>
    <xf numFmtId="4" fontId="94" fillId="23" borderId="38" xfId="34" applyNumberFormat="1" applyFont="1" applyFill="1" applyBorder="1" applyAlignment="1">
      <alignment horizontal="center"/>
    </xf>
    <xf numFmtId="4" fontId="94" fillId="23" borderId="37" xfId="34" applyNumberFormat="1" applyFont="1" applyFill="1" applyBorder="1"/>
    <xf numFmtId="0" fontId="32" fillId="23" borderId="39" xfId="34" applyFont="1" applyFill="1" applyBorder="1"/>
    <xf numFmtId="0" fontId="94" fillId="23" borderId="41" xfId="34" applyFont="1" applyFill="1" applyBorder="1"/>
    <xf numFmtId="0" fontId="94" fillId="23" borderId="43" xfId="34" applyFont="1" applyFill="1" applyBorder="1"/>
    <xf numFmtId="0" fontId="94" fillId="23" borderId="42" xfId="34" applyFont="1" applyFill="1" applyBorder="1" applyAlignment="1">
      <alignment horizontal="center"/>
    </xf>
    <xf numFmtId="2" fontId="94" fillId="23" borderId="42" xfId="34" applyNumberFormat="1" applyFont="1" applyFill="1" applyBorder="1" applyAlignment="1">
      <alignment horizontal="center"/>
    </xf>
    <xf numFmtId="4" fontId="93" fillId="23" borderId="41" xfId="34" applyNumberFormat="1" applyFont="1" applyFill="1" applyBorder="1" applyAlignment="1">
      <alignment horizontal="center"/>
    </xf>
    <xf numFmtId="4" fontId="94" fillId="0" borderId="43" xfId="34" applyNumberFormat="1" applyFont="1" applyBorder="1" applyAlignment="1">
      <alignment horizontal="center"/>
    </xf>
    <xf numFmtId="4" fontId="93" fillId="23" borderId="42" xfId="34" applyNumberFormat="1" applyFont="1" applyFill="1" applyBorder="1" applyAlignment="1">
      <alignment horizontal="center"/>
    </xf>
    <xf numFmtId="4" fontId="94" fillId="23" borderId="42" xfId="34" applyNumberFormat="1" applyFont="1" applyFill="1" applyBorder="1"/>
    <xf numFmtId="4" fontId="93" fillId="23" borderId="42" xfId="34" applyNumberFormat="1" applyFont="1" applyFill="1" applyBorder="1"/>
    <xf numFmtId="4" fontId="93" fillId="23" borderId="87" xfId="34" applyNumberFormat="1" applyFont="1" applyFill="1" applyBorder="1"/>
    <xf numFmtId="49" fontId="93" fillId="23" borderId="39" xfId="34" applyNumberFormat="1" applyFont="1" applyFill="1" applyBorder="1"/>
    <xf numFmtId="4" fontId="93" fillId="23" borderId="39" xfId="34" applyNumberFormat="1" applyFont="1" applyFill="1" applyBorder="1" applyAlignment="1">
      <alignment horizontal="center"/>
    </xf>
    <xf numFmtId="4" fontId="93" fillId="23" borderId="0" xfId="34" applyNumberFormat="1" applyFont="1" applyFill="1" applyAlignment="1">
      <alignment horizontal="center"/>
    </xf>
    <xf numFmtId="4" fontId="93" fillId="23" borderId="40" xfId="34" applyNumberFormat="1" applyFont="1" applyFill="1" applyBorder="1"/>
    <xf numFmtId="0" fontId="94" fillId="23" borderId="42" xfId="34" applyFont="1" applyFill="1" applyBorder="1"/>
    <xf numFmtId="4" fontId="93" fillId="23" borderId="43" xfId="34" applyNumberFormat="1" applyFont="1" applyFill="1" applyBorder="1" applyAlignment="1">
      <alignment horizontal="center"/>
    </xf>
    <xf numFmtId="0" fontId="32" fillId="23" borderId="0" xfId="34" applyFont="1" applyFill="1"/>
    <xf numFmtId="0" fontId="32" fillId="23" borderId="39" xfId="34" applyFont="1" applyFill="1" applyBorder="1" applyAlignment="1">
      <alignment horizontal="center"/>
    </xf>
    <xf numFmtId="2" fontId="32" fillId="23" borderId="40" xfId="34" applyNumberFormat="1" applyFont="1" applyFill="1" applyBorder="1" applyAlignment="1">
      <alignment horizontal="center"/>
    </xf>
    <xf numFmtId="0" fontId="32" fillId="23" borderId="0" xfId="34" applyFont="1" applyFill="1" applyAlignment="1">
      <alignment horizontal="center"/>
    </xf>
    <xf numFmtId="10" fontId="32" fillId="23" borderId="0" xfId="34" applyNumberFormat="1" applyFont="1" applyFill="1"/>
    <xf numFmtId="4" fontId="32" fillId="23" borderId="0" xfId="34" applyNumberFormat="1" applyFont="1" applyFill="1"/>
    <xf numFmtId="4" fontId="32" fillId="0" borderId="39" xfId="34" applyNumberFormat="1" applyFont="1" applyBorder="1"/>
    <xf numFmtId="4" fontId="3" fillId="0" borderId="0" xfId="34" applyNumberFormat="1" applyFont="1" applyAlignment="1">
      <alignment horizontal="center"/>
    </xf>
    <xf numFmtId="4" fontId="3" fillId="0" borderId="40" xfId="34" applyNumberFormat="1" applyFont="1" applyBorder="1" applyAlignment="1">
      <alignment horizontal="center"/>
    </xf>
    <xf numFmtId="4" fontId="3" fillId="0" borderId="40" xfId="34" applyNumberFormat="1" applyFont="1" applyBorder="1"/>
    <xf numFmtId="49" fontId="3" fillId="0" borderId="39" xfId="34" applyNumberFormat="1" applyFont="1" applyBorder="1"/>
    <xf numFmtId="179" fontId="3" fillId="0" borderId="0" xfId="34" applyNumberFormat="1" applyFont="1"/>
    <xf numFmtId="0" fontId="3" fillId="0" borderId="41" xfId="34" applyFont="1" applyBorder="1"/>
    <xf numFmtId="0" fontId="3" fillId="0" borderId="42" xfId="34" applyFont="1" applyBorder="1"/>
    <xf numFmtId="4" fontId="3" fillId="0" borderId="42" xfId="34" applyNumberFormat="1" applyFont="1" applyBorder="1"/>
    <xf numFmtId="4" fontId="3" fillId="0" borderId="43" xfId="34" applyNumberFormat="1" applyFont="1" applyBorder="1"/>
    <xf numFmtId="0" fontId="99" fillId="32" borderId="51" xfId="34" applyFont="1" applyFill="1" applyBorder="1"/>
    <xf numFmtId="0" fontId="99" fillId="32" borderId="52" xfId="34" applyFont="1" applyFill="1" applyBorder="1"/>
    <xf numFmtId="4" fontId="99" fillId="32" borderId="52" xfId="34" applyNumberFormat="1" applyFont="1" applyFill="1" applyBorder="1" applyAlignment="1">
      <alignment horizontal="right"/>
    </xf>
    <xf numFmtId="4" fontId="99" fillId="32" borderId="52" xfId="34" applyNumberFormat="1" applyFont="1" applyFill="1" applyBorder="1" applyAlignment="1">
      <alignment horizontal="left"/>
    </xf>
    <xf numFmtId="10" fontId="99" fillId="32" borderId="47" xfId="34" applyNumberFormat="1" applyFont="1" applyFill="1" applyBorder="1" applyAlignment="1">
      <alignment horizontal="right"/>
    </xf>
    <xf numFmtId="4" fontId="70" fillId="0" borderId="0" xfId="34" applyNumberFormat="1" applyFont="1"/>
    <xf numFmtId="4" fontId="2" fillId="0" borderId="0" xfId="34" applyNumberFormat="1" applyFont="1" applyAlignment="1">
      <alignment horizontal="right"/>
    </xf>
    <xf numFmtId="0" fontId="99" fillId="34" borderId="51" xfId="34" applyFont="1" applyFill="1" applyBorder="1" applyAlignment="1">
      <alignment horizontal="left" vertical="center"/>
    </xf>
    <xf numFmtId="0" fontId="100" fillId="34" borderId="52" xfId="32" applyFont="1" applyFill="1" applyBorder="1"/>
    <xf numFmtId="10" fontId="99" fillId="34" borderId="52" xfId="32" applyNumberFormat="1" applyFont="1" applyFill="1" applyBorder="1" applyAlignment="1">
      <alignment horizontal="center" vertical="center"/>
    </xf>
    <xf numFmtId="4" fontId="99" fillId="34" borderId="47" xfId="34" applyNumberFormat="1" applyFont="1" applyFill="1" applyBorder="1" applyAlignment="1">
      <alignment horizontal="center" vertical="center"/>
    </xf>
    <xf numFmtId="4" fontId="89" fillId="0" borderId="0" xfId="33" applyNumberFormat="1" applyAlignment="1"/>
    <xf numFmtId="0" fontId="8" fillId="35" borderId="0" xfId="27" applyFont="1" applyFill="1" applyAlignment="1">
      <alignment vertical="center"/>
    </xf>
    <xf numFmtId="4" fontId="7" fillId="35" borderId="0" xfId="27" applyNumberFormat="1" applyFont="1" applyFill="1" applyAlignment="1">
      <alignment horizontal="center" vertical="center"/>
    </xf>
    <xf numFmtId="0" fontId="7" fillId="35" borderId="0" xfId="27" applyFont="1" applyFill="1" applyAlignment="1">
      <alignment horizontal="left" vertical="center" indent="3"/>
    </xf>
    <xf numFmtId="4" fontId="4" fillId="35" borderId="0" xfId="27" applyNumberFormat="1" applyFill="1" applyAlignment="1">
      <alignment horizontal="center" vertical="center"/>
    </xf>
    <xf numFmtId="0" fontId="0" fillId="0" borderId="39" xfId="0" applyBorder="1"/>
    <xf numFmtId="0" fontId="0" fillId="0" borderId="40" xfId="0" applyBorder="1"/>
    <xf numFmtId="0" fontId="0" fillId="0" borderId="54" xfId="0" applyBorder="1"/>
    <xf numFmtId="0" fontId="0" fillId="0" borderId="36" xfId="0" applyBorder="1"/>
    <xf numFmtId="0" fontId="0" fillId="0" borderId="38" xfId="0" applyBorder="1" applyAlignment="1">
      <alignment horizontal="center"/>
    </xf>
    <xf numFmtId="0" fontId="0" fillId="0" borderId="54" xfId="0" applyBorder="1" applyAlignment="1">
      <alignment horizontal="center"/>
    </xf>
    <xf numFmtId="0" fontId="0" fillId="9" borderId="55" xfId="0" applyFill="1" applyBorder="1"/>
    <xf numFmtId="0" fontId="0" fillId="0" borderId="56" xfId="0" applyBorder="1"/>
    <xf numFmtId="0" fontId="0" fillId="0" borderId="41" xfId="0" applyBorder="1"/>
    <xf numFmtId="0" fontId="0" fillId="0" borderId="43" xfId="0" applyBorder="1" applyAlignment="1">
      <alignment horizontal="center"/>
    </xf>
    <xf numFmtId="0" fontId="0" fillId="0" borderId="56" xfId="0" applyBorder="1" applyAlignment="1">
      <alignment horizontal="center"/>
    </xf>
    <xf numFmtId="0" fontId="0" fillId="9" borderId="39" xfId="0" applyFill="1" applyBorder="1"/>
    <xf numFmtId="0" fontId="0" fillId="9" borderId="40" xfId="0" applyFill="1" applyBorder="1" applyAlignment="1">
      <alignment horizontal="center"/>
    </xf>
    <xf numFmtId="2" fontId="69" fillId="9" borderId="55" xfId="0" applyNumberFormat="1" applyFont="1" applyFill="1" applyBorder="1" applyAlignment="1">
      <alignment horizontal="center"/>
    </xf>
    <xf numFmtId="0" fontId="0" fillId="0" borderId="55" xfId="0" applyBorder="1"/>
    <xf numFmtId="0" fontId="0" fillId="0" borderId="40" xfId="0" applyBorder="1" applyAlignment="1">
      <alignment horizontal="center"/>
    </xf>
    <xf numFmtId="2" fontId="0" fillId="0" borderId="55" xfId="0" applyNumberFormat="1" applyBorder="1" applyAlignment="1">
      <alignment horizontal="center"/>
    </xf>
    <xf numFmtId="2" fontId="0" fillId="0" borderId="40" xfId="0" applyNumberFormat="1" applyBorder="1" applyAlignment="1">
      <alignment horizontal="center"/>
    </xf>
    <xf numFmtId="0" fontId="0" fillId="0" borderId="9" xfId="0" applyBorder="1"/>
    <xf numFmtId="0" fontId="0" fillId="0" borderId="57" xfId="0" applyBorder="1"/>
    <xf numFmtId="0" fontId="0" fillId="0" borderId="58" xfId="0" applyBorder="1" applyAlignment="1">
      <alignment horizontal="center"/>
    </xf>
    <xf numFmtId="2" fontId="0" fillId="0" borderId="9" xfId="0" applyNumberFormat="1" applyBorder="1" applyAlignment="1">
      <alignment horizontal="center"/>
    </xf>
    <xf numFmtId="0" fontId="0" fillId="0" borderId="7" xfId="0" applyBorder="1"/>
    <xf numFmtId="0" fontId="0" fillId="0" borderId="59" xfId="0" applyBorder="1"/>
    <xf numFmtId="0" fontId="0" fillId="0" borderId="60" xfId="0" applyBorder="1" applyAlignment="1">
      <alignment horizontal="center"/>
    </xf>
    <xf numFmtId="2" fontId="0" fillId="0" borderId="7" xfId="0" applyNumberFormat="1" applyBorder="1" applyAlignment="1">
      <alignment horizontal="center"/>
    </xf>
    <xf numFmtId="0" fontId="0" fillId="0" borderId="8" xfId="0" applyBorder="1"/>
    <xf numFmtId="0" fontId="0" fillId="0" borderId="61" xfId="0" applyBorder="1"/>
    <xf numFmtId="2" fontId="0" fillId="0" borderId="62" xfId="0" applyNumberFormat="1" applyBorder="1" applyAlignment="1">
      <alignment horizontal="center"/>
    </xf>
    <xf numFmtId="0" fontId="0" fillId="20" borderId="56" xfId="0" applyFill="1" applyBorder="1"/>
    <xf numFmtId="0" fontId="0" fillId="20" borderId="41" xfId="0" applyFill="1" applyBorder="1"/>
    <xf numFmtId="0" fontId="0" fillId="20" borderId="43" xfId="0" applyFill="1" applyBorder="1" applyAlignment="1">
      <alignment horizontal="center"/>
    </xf>
    <xf numFmtId="2" fontId="0" fillId="20" borderId="56" xfId="0" applyNumberFormat="1" applyFill="1" applyBorder="1" applyAlignment="1">
      <alignment horizontal="center"/>
    </xf>
    <xf numFmtId="0" fontId="7" fillId="22" borderId="0" xfId="0" applyFont="1" applyFill="1" applyAlignment="1">
      <alignment horizontal="left" vertical="center" indent="3"/>
    </xf>
    <xf numFmtId="0" fontId="73" fillId="0" borderId="0" xfId="0" applyFont="1"/>
    <xf numFmtId="4" fontId="0" fillId="0" borderId="0" xfId="0" applyNumberFormat="1"/>
    <xf numFmtId="4" fontId="0" fillId="0" borderId="40" xfId="0" applyNumberFormat="1" applyBorder="1"/>
    <xf numFmtId="0" fontId="77" fillId="24" borderId="39" xfId="0" applyFont="1" applyFill="1" applyBorder="1"/>
    <xf numFmtId="0" fontId="77" fillId="24" borderId="0" xfId="0" applyFont="1" applyFill="1" applyAlignment="1">
      <alignment horizontal="center" vertical="center"/>
    </xf>
    <xf numFmtId="172" fontId="78" fillId="24" borderId="40" xfId="0" applyNumberFormat="1" applyFont="1" applyFill="1" applyBorder="1"/>
    <xf numFmtId="0" fontId="77" fillId="20" borderId="39" xfId="0" applyFont="1" applyFill="1" applyBorder="1"/>
    <xf numFmtId="0" fontId="77" fillId="20" borderId="0" xfId="0" applyFont="1" applyFill="1" applyAlignment="1">
      <alignment horizontal="center" vertical="center"/>
    </xf>
    <xf numFmtId="172" fontId="77" fillId="20" borderId="0" xfId="0" applyNumberFormat="1" applyFont="1" applyFill="1" applyAlignment="1">
      <alignment horizontal="center" vertical="center"/>
    </xf>
    <xf numFmtId="171" fontId="77" fillId="20" borderId="0" xfId="0" applyNumberFormat="1" applyFont="1" applyFill="1" applyAlignment="1">
      <alignment horizontal="center" vertical="center"/>
    </xf>
    <xf numFmtId="0" fontId="0" fillId="12" borderId="39" xfId="0" applyFill="1" applyBorder="1"/>
    <xf numFmtId="0" fontId="0" fillId="12" borderId="0" xfId="0" applyFill="1" applyAlignment="1">
      <alignment horizontal="center" vertical="center"/>
    </xf>
    <xf numFmtId="4" fontId="72" fillId="12" borderId="40" xfId="0" applyNumberFormat="1" applyFont="1" applyFill="1" applyBorder="1"/>
    <xf numFmtId="0" fontId="69" fillId="25" borderId="72" xfId="0" applyFont="1" applyFill="1" applyBorder="1"/>
    <xf numFmtId="0" fontId="69" fillId="25" borderId="17" xfId="0" applyFont="1" applyFill="1" applyBorder="1" applyAlignment="1">
      <alignment horizontal="center" vertical="center"/>
    </xf>
    <xf numFmtId="0" fontId="69" fillId="20" borderId="74" xfId="0" applyFont="1" applyFill="1" applyBorder="1"/>
    <xf numFmtId="0" fontId="79" fillId="20" borderId="42" xfId="0" applyFont="1" applyFill="1" applyBorder="1" applyAlignment="1">
      <alignment horizontal="center" vertical="center"/>
    </xf>
    <xf numFmtId="172" fontId="79" fillId="20" borderId="42" xfId="0" applyNumberFormat="1" applyFont="1" applyFill="1" applyBorder="1" applyAlignment="1">
      <alignment horizontal="center" vertical="center"/>
    </xf>
    <xf numFmtId="174" fontId="80" fillId="9" borderId="43" xfId="0" applyNumberFormat="1" applyFont="1" applyFill="1" applyBorder="1"/>
    <xf numFmtId="171" fontId="79" fillId="20" borderId="42" xfId="0" applyNumberFormat="1" applyFont="1" applyFill="1" applyBorder="1" applyAlignment="1">
      <alignment horizontal="center" vertical="center"/>
    </xf>
    <xf numFmtId="4" fontId="0" fillId="0" borderId="42" xfId="0" applyNumberFormat="1" applyBorder="1"/>
    <xf numFmtId="0" fontId="0" fillId="0" borderId="43" xfId="0" applyBorder="1"/>
    <xf numFmtId="0" fontId="4" fillId="18" borderId="0" xfId="0" applyFont="1" applyFill="1"/>
    <xf numFmtId="1" fontId="33" fillId="0" borderId="17" xfId="0" applyNumberFormat="1" applyFont="1" applyBorder="1" applyAlignment="1">
      <alignment horizontal="center" vertical="center" wrapText="1"/>
    </xf>
    <xf numFmtId="168" fontId="55" fillId="23" borderId="0" xfId="0" applyNumberFormat="1" applyFont="1" applyFill="1" applyAlignment="1">
      <alignment horizontal="right" vertical="center"/>
    </xf>
    <xf numFmtId="165" fontId="20" fillId="9" borderId="17" xfId="0" applyNumberFormat="1" applyFont="1" applyFill="1" applyBorder="1" applyAlignment="1">
      <alignment horizontal="center" vertical="center" wrapText="1"/>
    </xf>
    <xf numFmtId="1" fontId="20" fillId="9" borderId="17" xfId="0" applyNumberFormat="1" applyFont="1" applyFill="1" applyBorder="1" applyAlignment="1">
      <alignment horizontal="center" vertical="center" wrapText="1"/>
    </xf>
    <xf numFmtId="0" fontId="41" fillId="0" borderId="17" xfId="0" applyFont="1" applyBorder="1" applyAlignment="1">
      <alignment horizontal="center" vertical="center" wrapText="1"/>
    </xf>
    <xf numFmtId="0" fontId="55" fillId="0" borderId="0" xfId="0" applyFont="1" applyAlignment="1">
      <alignment horizontal="left" vertical="center" wrapText="1"/>
    </xf>
    <xf numFmtId="0" fontId="0" fillId="0" borderId="0" xfId="0" applyAlignment="1">
      <alignment wrapText="1"/>
    </xf>
    <xf numFmtId="49" fontId="0" fillId="0" borderId="0" xfId="0" applyNumberFormat="1"/>
    <xf numFmtId="49" fontId="0" fillId="0" borderId="0" xfId="0" applyNumberFormat="1" applyAlignment="1">
      <alignment wrapText="1"/>
    </xf>
    <xf numFmtId="2" fontId="4" fillId="0" borderId="0" xfId="0" applyNumberFormat="1" applyFont="1"/>
    <xf numFmtId="2" fontId="3" fillId="0" borderId="0" xfId="0" applyNumberFormat="1" applyFont="1" applyAlignment="1">
      <alignment horizontal="right" vertical="center"/>
    </xf>
    <xf numFmtId="2" fontId="62" fillId="0" borderId="0" xfId="24" applyNumberFormat="1"/>
    <xf numFmtId="180" fontId="3" fillId="0" borderId="0" xfId="0" applyNumberFormat="1" applyFont="1"/>
    <xf numFmtId="4" fontId="3" fillId="0" borderId="17" xfId="0" applyNumberFormat="1" applyFont="1" applyBorder="1"/>
    <xf numFmtId="0" fontId="3" fillId="0" borderId="17" xfId="0" applyFont="1" applyBorder="1"/>
    <xf numFmtId="168" fontId="3" fillId="0" borderId="17" xfId="0" applyNumberFormat="1" applyFont="1" applyBorder="1"/>
    <xf numFmtId="180" fontId="3" fillId="36" borderId="17" xfId="0" applyNumberFormat="1" applyFont="1" applyFill="1" applyBorder="1"/>
    <xf numFmtId="4" fontId="3" fillId="33" borderId="17" xfId="0" applyNumberFormat="1" applyFont="1" applyFill="1" applyBorder="1"/>
    <xf numFmtId="0" fontId="3" fillId="33" borderId="17" xfId="0" applyFont="1" applyFill="1" applyBorder="1"/>
    <xf numFmtId="168" fontId="3" fillId="33" borderId="17" xfId="0" applyNumberFormat="1" applyFont="1" applyFill="1" applyBorder="1"/>
    <xf numFmtId="180" fontId="3" fillId="33" borderId="17" xfId="0" applyNumberFormat="1" applyFont="1" applyFill="1" applyBorder="1"/>
    <xf numFmtId="180" fontId="3" fillId="37" borderId="17" xfId="0" applyNumberFormat="1" applyFont="1" applyFill="1" applyBorder="1"/>
    <xf numFmtId="180" fontId="0" fillId="38" borderId="0" xfId="0" applyNumberFormat="1" applyFill="1"/>
    <xf numFmtId="4" fontId="3" fillId="0" borderId="0" xfId="0" applyNumberFormat="1" applyFont="1"/>
    <xf numFmtId="0" fontId="3" fillId="0" borderId="0" xfId="0" applyFont="1"/>
    <xf numFmtId="168" fontId="3" fillId="0" borderId="0" xfId="0" applyNumberFormat="1" applyFont="1"/>
    <xf numFmtId="0" fontId="56" fillId="15" borderId="0" xfId="0" applyFont="1" applyFill="1" applyAlignment="1">
      <alignment vertical="center" wrapText="1"/>
    </xf>
    <xf numFmtId="0" fontId="56" fillId="15" borderId="42" xfId="0" applyFont="1" applyFill="1" applyBorder="1" applyAlignment="1">
      <alignment horizontal="left" vertical="center" wrapText="1"/>
    </xf>
    <xf numFmtId="0" fontId="56" fillId="0" borderId="0" xfId="0" applyFont="1" applyAlignment="1">
      <alignment horizontal="center" vertical="center" wrapText="1"/>
    </xf>
    <xf numFmtId="0" fontId="55" fillId="0" borderId="0" xfId="0" applyFont="1" applyAlignment="1">
      <alignment wrapText="1"/>
    </xf>
    <xf numFmtId="0" fontId="57" fillId="0" borderId="0" xfId="22" applyNumberFormat="1" applyFont="1" applyAlignment="1">
      <alignment horizontal="left" vertical="center" wrapText="1"/>
    </xf>
    <xf numFmtId="0" fontId="55" fillId="0" borderId="42" xfId="0" applyFont="1" applyBorder="1" applyAlignment="1">
      <alignment wrapText="1"/>
    </xf>
    <xf numFmtId="0" fontId="56" fillId="0" borderId="37" xfId="0" applyFont="1" applyBorder="1" applyAlignment="1">
      <alignment horizontal="center" vertical="center" wrapText="1"/>
    </xf>
    <xf numFmtId="0" fontId="55" fillId="17" borderId="0" xfId="0" applyFont="1" applyFill="1" applyAlignment="1">
      <alignment horizontal="left" vertical="center" wrapText="1"/>
    </xf>
    <xf numFmtId="0" fontId="65" fillId="17" borderId="0" xfId="0" applyFont="1" applyFill="1" applyAlignment="1">
      <alignment horizontal="left" vertical="center" wrapText="1"/>
    </xf>
    <xf numFmtId="0" fontId="55" fillId="18" borderId="0" xfId="0" quotePrefix="1" applyFont="1" applyFill="1" applyAlignment="1">
      <alignment horizontal="left" vertical="center" wrapText="1"/>
    </xf>
    <xf numFmtId="0" fontId="55" fillId="18" borderId="0" xfId="0" applyFont="1" applyFill="1" applyAlignment="1">
      <alignment horizontal="left" vertical="center" wrapText="1"/>
    </xf>
    <xf numFmtId="0" fontId="0" fillId="0" borderId="17" xfId="0" applyBorder="1" applyAlignment="1">
      <alignment wrapText="1"/>
    </xf>
    <xf numFmtId="0" fontId="0" fillId="33" borderId="17" xfId="0" applyFill="1" applyBorder="1" applyAlignment="1">
      <alignment wrapText="1"/>
    </xf>
    <xf numFmtId="0" fontId="102" fillId="0" borderId="0" xfId="0" applyFont="1"/>
    <xf numFmtId="4" fontId="103" fillId="0" borderId="0" xfId="0" applyNumberFormat="1" applyFont="1"/>
    <xf numFmtId="0" fontId="104" fillId="0" borderId="0" xfId="0" applyFont="1"/>
    <xf numFmtId="0" fontId="105" fillId="0" borderId="0" xfId="0" applyFont="1"/>
    <xf numFmtId="0" fontId="106" fillId="39" borderId="88" xfId="0" applyFont="1" applyFill="1" applyBorder="1" applyAlignment="1">
      <alignment horizontal="center" vertical="center" wrapText="1"/>
    </xf>
    <xf numFmtId="0" fontId="106" fillId="39" borderId="88" xfId="0" applyFont="1" applyFill="1" applyBorder="1" applyAlignment="1">
      <alignment horizontal="center"/>
    </xf>
    <xf numFmtId="0" fontId="106" fillId="39" borderId="88" xfId="0" applyFont="1" applyFill="1" applyBorder="1"/>
    <xf numFmtId="2" fontId="106" fillId="39" borderId="88" xfId="0" applyNumberFormat="1" applyFont="1" applyFill="1" applyBorder="1" applyAlignment="1">
      <alignment horizontal="center"/>
    </xf>
    <xf numFmtId="181" fontId="106" fillId="39" borderId="88" xfId="0" applyNumberFormat="1" applyFont="1" applyFill="1" applyBorder="1" applyAlignment="1">
      <alignment horizontal="center"/>
    </xf>
    <xf numFmtId="0" fontId="106" fillId="40" borderId="88" xfId="0" applyFont="1" applyFill="1" applyBorder="1" applyAlignment="1">
      <alignment horizontal="center"/>
    </xf>
    <xf numFmtId="0" fontId="106" fillId="40" borderId="88" xfId="0" applyFont="1" applyFill="1" applyBorder="1"/>
    <xf numFmtId="2" fontId="106" fillId="40" borderId="88" xfId="0" applyNumberFormat="1" applyFont="1" applyFill="1" applyBorder="1" applyAlignment="1">
      <alignment horizontal="center"/>
    </xf>
    <xf numFmtId="181" fontId="106" fillId="40" borderId="88" xfId="0" applyNumberFormat="1" applyFont="1" applyFill="1" applyBorder="1" applyAlignment="1">
      <alignment horizontal="center"/>
    </xf>
    <xf numFmtId="0" fontId="108" fillId="41" borderId="88" xfId="0" applyFont="1" applyFill="1" applyBorder="1" applyAlignment="1">
      <alignment horizontal="center"/>
    </xf>
    <xf numFmtId="0" fontId="108" fillId="41" borderId="88" xfId="0" applyFont="1" applyFill="1" applyBorder="1"/>
    <xf numFmtId="2" fontId="108" fillId="41" borderId="88" xfId="0" applyNumberFormat="1" applyFont="1" applyFill="1" applyBorder="1" applyAlignment="1">
      <alignment horizontal="center"/>
    </xf>
    <xf numFmtId="181" fontId="108" fillId="41" borderId="88" xfId="0" applyNumberFormat="1" applyFont="1" applyFill="1" applyBorder="1" applyAlignment="1">
      <alignment horizontal="center"/>
    </xf>
    <xf numFmtId="0" fontId="107" fillId="42" borderId="88" xfId="0" applyFont="1" applyFill="1" applyBorder="1" applyAlignment="1">
      <alignment horizontal="center"/>
    </xf>
    <xf numFmtId="0" fontId="107" fillId="42" borderId="88" xfId="0" applyFont="1" applyFill="1" applyBorder="1"/>
    <xf numFmtId="2" fontId="107" fillId="42" borderId="88" xfId="0" applyNumberFormat="1" applyFont="1" applyFill="1" applyBorder="1" applyAlignment="1">
      <alignment horizontal="center"/>
    </xf>
    <xf numFmtId="181" fontId="107" fillId="42" borderId="88" xfId="0" applyNumberFormat="1" applyFont="1" applyFill="1" applyBorder="1" applyAlignment="1">
      <alignment horizontal="center"/>
    </xf>
    <xf numFmtId="0" fontId="108" fillId="43" borderId="88" xfId="0" applyFont="1" applyFill="1" applyBorder="1" applyAlignment="1">
      <alignment horizontal="center"/>
    </xf>
    <xf numFmtId="0" fontId="108" fillId="43" borderId="88" xfId="0" applyFont="1" applyFill="1" applyBorder="1"/>
    <xf numFmtId="2" fontId="108" fillId="43" borderId="88" xfId="0" applyNumberFormat="1" applyFont="1" applyFill="1" applyBorder="1" applyAlignment="1">
      <alignment horizontal="center"/>
    </xf>
    <xf numFmtId="181" fontId="108" fillId="43" borderId="88" xfId="0" applyNumberFormat="1" applyFont="1" applyFill="1" applyBorder="1" applyAlignment="1">
      <alignment horizontal="center"/>
    </xf>
    <xf numFmtId="0" fontId="107" fillId="44" borderId="88" xfId="0" applyFont="1" applyFill="1" applyBorder="1" applyAlignment="1">
      <alignment horizontal="center"/>
    </xf>
    <xf numFmtId="0" fontId="107" fillId="44" borderId="88" xfId="0" applyFont="1" applyFill="1" applyBorder="1"/>
    <xf numFmtId="2" fontId="107" fillId="44" borderId="88" xfId="0" applyNumberFormat="1" applyFont="1" applyFill="1" applyBorder="1" applyAlignment="1">
      <alignment horizontal="center"/>
    </xf>
    <xf numFmtId="181" fontId="107" fillId="44" borderId="88" xfId="0" applyNumberFormat="1" applyFont="1" applyFill="1" applyBorder="1" applyAlignment="1">
      <alignment horizontal="center"/>
    </xf>
    <xf numFmtId="0" fontId="109" fillId="0" borderId="0" xfId="0" applyFont="1"/>
    <xf numFmtId="0" fontId="111" fillId="0" borderId="0" xfId="0" applyFont="1"/>
    <xf numFmtId="0" fontId="109" fillId="0" borderId="0" xfId="0" applyFont="1" applyAlignment="1">
      <alignment horizontal="right"/>
    </xf>
    <xf numFmtId="0" fontId="110" fillId="39" borderId="90" xfId="0" applyFont="1" applyFill="1" applyBorder="1" applyAlignment="1">
      <alignment horizontal="right" vertical="center" wrapText="1"/>
    </xf>
    <xf numFmtId="0" fontId="112" fillId="0" borderId="0" xfId="0" applyFont="1"/>
    <xf numFmtId="182" fontId="110" fillId="39" borderId="0" xfId="0" applyNumberFormat="1" applyFont="1" applyFill="1" applyAlignment="1">
      <alignment horizontal="center" vertical="center"/>
    </xf>
    <xf numFmtId="0" fontId="110" fillId="39" borderId="0" xfId="0" applyFont="1" applyFill="1" applyAlignment="1">
      <alignment horizontal="center" vertical="center"/>
    </xf>
    <xf numFmtId="0" fontId="113" fillId="42" borderId="89" xfId="0" applyFont="1" applyFill="1" applyBorder="1" applyAlignment="1">
      <alignment horizontal="center"/>
    </xf>
    <xf numFmtId="0" fontId="0" fillId="45" borderId="92" xfId="0" applyFill="1" applyBorder="1"/>
    <xf numFmtId="0" fontId="0" fillId="46" borderId="93" xfId="0" applyFill="1" applyBorder="1"/>
    <xf numFmtId="0" fontId="0" fillId="47" borderId="94" xfId="0" applyFill="1" applyBorder="1"/>
    <xf numFmtId="0" fontId="0" fillId="48" borderId="95" xfId="0" applyFill="1" applyBorder="1"/>
    <xf numFmtId="0" fontId="0" fillId="49" borderId="91" xfId="0" applyFill="1" applyBorder="1"/>
    <xf numFmtId="0" fontId="114" fillId="0" borderId="0" xfId="0" applyFont="1" applyAlignment="1">
      <alignment horizontal="center"/>
    </xf>
    <xf numFmtId="0" fontId="115" fillId="0" borderId="0" xfId="0" applyFont="1" applyAlignment="1">
      <alignment horizontal="center"/>
    </xf>
    <xf numFmtId="0" fontId="116" fillId="0" borderId="0" xfId="0" applyFont="1" applyAlignment="1">
      <alignment horizontal="center"/>
    </xf>
    <xf numFmtId="183" fontId="0" fillId="0" borderId="0" xfId="0" applyNumberFormat="1" applyAlignment="1">
      <alignment vertical="center"/>
    </xf>
    <xf numFmtId="0" fontId="117" fillId="0" borderId="0" xfId="0" applyFont="1"/>
    <xf numFmtId="0" fontId="119" fillId="0" borderId="0" xfId="0" applyFont="1"/>
    <xf numFmtId="0" fontId="106" fillId="50" borderId="0" xfId="0" applyFont="1" applyFill="1" applyAlignment="1">
      <alignment horizontal="center"/>
    </xf>
    <xf numFmtId="0" fontId="106" fillId="40" borderId="0" xfId="0" applyFont="1" applyFill="1" applyAlignment="1">
      <alignment horizontal="center"/>
    </xf>
    <xf numFmtId="0" fontId="106" fillId="51" borderId="0" xfId="0" applyFont="1" applyFill="1" applyAlignment="1">
      <alignment horizontal="center"/>
    </xf>
    <xf numFmtId="0" fontId="106" fillId="52" borderId="0" xfId="0" applyFont="1" applyFill="1" applyAlignment="1">
      <alignment horizontal="center"/>
    </xf>
    <xf numFmtId="0" fontId="106" fillId="53" borderId="0" xfId="0" applyFont="1" applyFill="1" applyAlignment="1">
      <alignment horizontal="center"/>
    </xf>
    <xf numFmtId="169" fontId="0" fillId="0" borderId="0" xfId="0" applyNumberFormat="1"/>
    <xf numFmtId="0" fontId="112" fillId="0" borderId="0" xfId="0" applyFont="1" applyAlignment="1">
      <alignment horizontal="center"/>
    </xf>
    <xf numFmtId="0" fontId="102" fillId="9" borderId="0" xfId="0" applyFont="1" applyFill="1" applyAlignment="1">
      <alignment horizontal="center"/>
    </xf>
    <xf numFmtId="0" fontId="102" fillId="0" borderId="0" xfId="0" applyFont="1" applyAlignment="1">
      <alignment horizontal="center"/>
    </xf>
    <xf numFmtId="0" fontId="111" fillId="0" borderId="0" xfId="0" applyFont="1" applyAlignment="1">
      <alignment vertical="center"/>
    </xf>
    <xf numFmtId="169" fontId="120" fillId="54" borderId="0" xfId="0" applyNumberFormat="1" applyFont="1" applyFill="1" applyAlignment="1">
      <alignment vertical="center"/>
    </xf>
    <xf numFmtId="183" fontId="3" fillId="0" borderId="0" xfId="0" applyNumberFormat="1" applyFont="1" applyAlignment="1">
      <alignment vertical="center"/>
    </xf>
    <xf numFmtId="0" fontId="121" fillId="40" borderId="0" xfId="0" applyFont="1" applyFill="1" applyAlignment="1">
      <alignment horizontal="center"/>
    </xf>
    <xf numFmtId="0" fontId="121" fillId="52" borderId="0" xfId="0" applyFont="1" applyFill="1" applyAlignment="1">
      <alignment horizontal="center"/>
    </xf>
    <xf numFmtId="0" fontId="121" fillId="53" borderId="0" xfId="0" applyFont="1" applyFill="1" applyAlignment="1">
      <alignment horizontal="center"/>
    </xf>
    <xf numFmtId="184" fontId="111" fillId="0" borderId="0" xfId="0" applyNumberFormat="1" applyFont="1"/>
    <xf numFmtId="0" fontId="112" fillId="55" borderId="0" xfId="0" applyFont="1" applyFill="1" applyAlignment="1">
      <alignment horizontal="center"/>
    </xf>
    <xf numFmtId="1" fontId="111" fillId="0" borderId="0" xfId="0" applyNumberFormat="1" applyFont="1"/>
    <xf numFmtId="169" fontId="112" fillId="0" borderId="0" xfId="0" applyNumberFormat="1" applyFont="1"/>
    <xf numFmtId="185" fontId="111" fillId="0" borderId="0" xfId="0" applyNumberFormat="1" applyFont="1"/>
    <xf numFmtId="0" fontId="111" fillId="0" borderId="0" xfId="0" applyFont="1" applyAlignment="1">
      <alignment vertical="top"/>
    </xf>
    <xf numFmtId="183" fontId="111" fillId="0" borderId="0" xfId="0" applyNumberFormat="1" applyFont="1" applyAlignment="1">
      <alignment vertical="top"/>
    </xf>
    <xf numFmtId="169" fontId="118" fillId="0" borderId="0" xfId="0" applyNumberFormat="1" applyFont="1" applyAlignment="1">
      <alignment vertical="top"/>
    </xf>
    <xf numFmtId="169" fontId="111" fillId="0" borderId="0" xfId="0" applyNumberFormat="1" applyFont="1" applyAlignment="1">
      <alignment vertical="top"/>
    </xf>
    <xf numFmtId="0" fontId="106" fillId="40" borderId="0" xfId="0" applyFont="1" applyFill="1" applyAlignment="1">
      <alignment horizontal="center" wrapText="1"/>
    </xf>
    <xf numFmtId="0" fontId="111" fillId="0" borderId="0" xfId="0" applyFont="1" applyAlignment="1">
      <alignment vertical="top" wrapText="1"/>
    </xf>
    <xf numFmtId="0" fontId="106" fillId="50" borderId="0" xfId="0" applyFont="1" applyFill="1" applyAlignment="1">
      <alignment horizontal="center" wrapText="1"/>
    </xf>
    <xf numFmtId="0" fontId="58" fillId="0" borderId="0" xfId="0" applyFont="1" applyAlignment="1">
      <alignment vertical="center"/>
    </xf>
    <xf numFmtId="0" fontId="121" fillId="50" borderId="0" xfId="0" applyFont="1" applyFill="1"/>
    <xf numFmtId="4" fontId="111" fillId="0" borderId="0" xfId="0" applyNumberFormat="1" applyFont="1"/>
    <xf numFmtId="4" fontId="112" fillId="0" borderId="0" xfId="0" applyNumberFormat="1" applyFont="1"/>
    <xf numFmtId="3" fontId="111" fillId="0" borderId="0" xfId="0" applyNumberFormat="1" applyFont="1"/>
    <xf numFmtId="0" fontId="111" fillId="0" borderId="0" xfId="0" applyFont="1" applyAlignment="1">
      <alignment wrapText="1"/>
    </xf>
    <xf numFmtId="170" fontId="0" fillId="0" borderId="0" xfId="0" applyNumberFormat="1"/>
    <xf numFmtId="0" fontId="122" fillId="0" borderId="0" xfId="0" applyFont="1"/>
    <xf numFmtId="0" fontId="121" fillId="52" borderId="90" xfId="0" applyFont="1" applyFill="1" applyBorder="1" applyAlignment="1">
      <alignment horizontal="center" vertical="center" wrapText="1"/>
    </xf>
    <xf numFmtId="0" fontId="121" fillId="57" borderId="90" xfId="0" applyFont="1" applyFill="1" applyBorder="1" applyAlignment="1">
      <alignment horizontal="center" vertical="center" wrapText="1"/>
    </xf>
    <xf numFmtId="0" fontId="121" fillId="55" borderId="90" xfId="0" applyFont="1" applyFill="1" applyBorder="1" applyAlignment="1">
      <alignment horizontal="center" vertical="center" wrapText="1"/>
    </xf>
    <xf numFmtId="184" fontId="112" fillId="0" borderId="0" xfId="0" applyNumberFormat="1" applyFont="1"/>
    <xf numFmtId="186" fontId="109" fillId="0" borderId="0" xfId="0" applyNumberFormat="1" applyFont="1" applyAlignment="1">
      <alignment horizontal="center"/>
    </xf>
    <xf numFmtId="0" fontId="110" fillId="50" borderId="0" xfId="0" applyFont="1" applyFill="1" applyAlignment="1">
      <alignment horizontal="center"/>
    </xf>
    <xf numFmtId="187" fontId="123" fillId="0" borderId="0" xfId="0" applyNumberFormat="1" applyFont="1" applyAlignment="1">
      <alignment horizontal="center"/>
    </xf>
    <xf numFmtId="188" fontId="0" fillId="0" borderId="0" xfId="0" applyNumberFormat="1"/>
    <xf numFmtId="2" fontId="124" fillId="56" borderId="88" xfId="0" applyNumberFormat="1" applyFont="1" applyFill="1" applyBorder="1" applyAlignment="1">
      <alignment horizontal="center"/>
    </xf>
    <xf numFmtId="181" fontId="124" fillId="56" borderId="88" xfId="0" applyNumberFormat="1" applyFont="1" applyFill="1" applyBorder="1" applyAlignment="1">
      <alignment horizontal="center"/>
    </xf>
    <xf numFmtId="0" fontId="123" fillId="56" borderId="0" xfId="0" applyFont="1" applyFill="1"/>
    <xf numFmtId="179" fontId="123" fillId="56" borderId="0" xfId="0" applyNumberFormat="1" applyFont="1" applyFill="1"/>
    <xf numFmtId="188" fontId="123" fillId="56" borderId="0" xfId="0" applyNumberFormat="1" applyFont="1" applyFill="1" applyAlignment="1">
      <alignment horizontal="center"/>
    </xf>
    <xf numFmtId="188" fontId="123" fillId="56" borderId="0" xfId="0" applyNumberFormat="1" applyFont="1" applyFill="1"/>
    <xf numFmtId="2" fontId="124" fillId="46" borderId="88" xfId="0" applyNumberFormat="1" applyFont="1" applyFill="1" applyBorder="1" applyAlignment="1">
      <alignment horizontal="center"/>
    </xf>
    <xf numFmtId="181" fontId="124" fillId="46" borderId="88" xfId="0" applyNumberFormat="1" applyFont="1" applyFill="1" applyBorder="1" applyAlignment="1">
      <alignment horizontal="center"/>
    </xf>
    <xf numFmtId="0" fontId="123" fillId="46" borderId="0" xfId="0" applyFont="1" applyFill="1"/>
    <xf numFmtId="179" fontId="123" fillId="46" borderId="0" xfId="0" applyNumberFormat="1" applyFont="1" applyFill="1"/>
    <xf numFmtId="188" fontId="123" fillId="46" borderId="0" xfId="0" applyNumberFormat="1" applyFont="1" applyFill="1"/>
    <xf numFmtId="2" fontId="124" fillId="58" borderId="88" xfId="0" applyNumberFormat="1" applyFont="1" applyFill="1" applyBorder="1" applyAlignment="1">
      <alignment horizontal="center"/>
    </xf>
    <xf numFmtId="181" fontId="124" fillId="58" borderId="88" xfId="0" applyNumberFormat="1" applyFont="1" applyFill="1" applyBorder="1" applyAlignment="1">
      <alignment horizontal="center"/>
    </xf>
    <xf numFmtId="0" fontId="123" fillId="58" borderId="0" xfId="0" applyFont="1" applyFill="1"/>
    <xf numFmtId="0" fontId="123" fillId="44" borderId="0" xfId="0" applyFont="1" applyFill="1"/>
    <xf numFmtId="169" fontId="123" fillId="44" borderId="0" xfId="0" applyNumberFormat="1" applyFont="1" applyFill="1"/>
    <xf numFmtId="169" fontId="109" fillId="58" borderId="0" xfId="0" applyNumberFormat="1" applyFont="1" applyFill="1"/>
    <xf numFmtId="0" fontId="106" fillId="39" borderId="88" xfId="0" applyFont="1" applyFill="1" applyBorder="1" applyAlignment="1">
      <alignment wrapText="1"/>
    </xf>
    <xf numFmtId="0" fontId="106" fillId="40" borderId="88" xfId="0" applyFont="1" applyFill="1" applyBorder="1" applyAlignment="1">
      <alignment wrapText="1"/>
    </xf>
    <xf numFmtId="0" fontId="108" fillId="41" borderId="88" xfId="0" applyFont="1" applyFill="1" applyBorder="1" applyAlignment="1">
      <alignment wrapText="1"/>
    </xf>
    <xf numFmtId="0" fontId="107" fillId="42" borderId="88" xfId="0" applyFont="1" applyFill="1" applyBorder="1" applyAlignment="1">
      <alignment wrapText="1"/>
    </xf>
    <xf numFmtId="0" fontId="108" fillId="43" borderId="88" xfId="0" applyFont="1" applyFill="1" applyBorder="1" applyAlignment="1">
      <alignment wrapText="1"/>
    </xf>
    <xf numFmtId="0" fontId="107" fillId="44" borderId="88" xfId="0" applyFont="1" applyFill="1" applyBorder="1" applyAlignment="1">
      <alignment wrapText="1"/>
    </xf>
    <xf numFmtId="0" fontId="124" fillId="56" borderId="88" xfId="0" applyFont="1" applyFill="1" applyBorder="1" applyAlignment="1">
      <alignment wrapText="1"/>
    </xf>
    <xf numFmtId="0" fontId="124" fillId="46" borderId="88" xfId="0" applyFont="1" applyFill="1" applyBorder="1" applyAlignment="1">
      <alignment wrapText="1"/>
    </xf>
    <xf numFmtId="0" fontId="124" fillId="58" borderId="88" xfId="0" applyFont="1" applyFill="1" applyBorder="1" applyAlignment="1">
      <alignment wrapText="1"/>
    </xf>
    <xf numFmtId="0" fontId="124" fillId="44" borderId="90" xfId="0" applyFont="1" applyFill="1" applyBorder="1" applyAlignment="1">
      <alignment wrapText="1"/>
    </xf>
    <xf numFmtId="0" fontId="20" fillId="0" borderId="21" xfId="0" applyFont="1" applyBorder="1" applyAlignment="1">
      <alignment horizontal="center" vertical="center" wrapText="1"/>
    </xf>
    <xf numFmtId="0" fontId="19" fillId="12" borderId="84" xfId="0" applyFont="1" applyFill="1" applyBorder="1" applyAlignment="1">
      <alignment horizontal="center" vertical="center" wrapText="1"/>
    </xf>
    <xf numFmtId="0" fontId="20" fillId="12" borderId="84" xfId="0" applyFont="1" applyFill="1" applyBorder="1" applyAlignment="1">
      <alignment horizontal="center" vertical="center" wrapText="1"/>
    </xf>
    <xf numFmtId="1" fontId="19" fillId="12" borderId="84" xfId="0" applyNumberFormat="1" applyFont="1" applyFill="1" applyBorder="1" applyAlignment="1">
      <alignment horizontal="center" vertical="center" wrapText="1"/>
    </xf>
    <xf numFmtId="1" fontId="33" fillId="12" borderId="84" xfId="0" applyNumberFormat="1" applyFont="1" applyFill="1" applyBorder="1" applyAlignment="1">
      <alignment horizontal="center" vertical="center" wrapText="1"/>
    </xf>
    <xf numFmtId="0" fontId="19" fillId="12" borderId="84" xfId="0" applyFont="1" applyFill="1" applyBorder="1" applyAlignment="1">
      <alignment vertical="center" wrapText="1"/>
    </xf>
    <xf numFmtId="2" fontId="19" fillId="12" borderId="84" xfId="0" applyNumberFormat="1" applyFont="1" applyFill="1" applyBorder="1" applyAlignment="1">
      <alignment horizontal="right" vertical="center" wrapText="1"/>
    </xf>
    <xf numFmtId="0" fontId="19" fillId="59" borderId="96" xfId="0" applyFont="1" applyFill="1" applyBorder="1" applyAlignment="1">
      <alignment horizontal="center" vertical="center" wrapText="1"/>
    </xf>
    <xf numFmtId="0" fontId="20" fillId="59" borderId="96" xfId="0" applyFont="1" applyFill="1" applyBorder="1" applyAlignment="1">
      <alignment horizontal="center" vertical="center" wrapText="1"/>
    </xf>
    <xf numFmtId="1" fontId="19" fillId="59" borderId="96" xfId="0" applyNumberFormat="1" applyFont="1" applyFill="1" applyBorder="1" applyAlignment="1">
      <alignment horizontal="center" vertical="center" wrapText="1"/>
    </xf>
    <xf numFmtId="1" fontId="33" fillId="59" borderId="96" xfId="0" applyNumberFormat="1" applyFont="1" applyFill="1" applyBorder="1" applyAlignment="1">
      <alignment horizontal="center" vertical="center" wrapText="1"/>
    </xf>
    <xf numFmtId="0" fontId="19" fillId="59" borderId="96" xfId="0" applyFont="1" applyFill="1" applyBorder="1" applyAlignment="1">
      <alignment vertical="center" wrapText="1"/>
    </xf>
    <xf numFmtId="1" fontId="30" fillId="59" borderId="96" xfId="0" applyNumberFormat="1" applyFont="1" applyFill="1" applyBorder="1" applyAlignment="1">
      <alignment horizontal="center" vertical="center" wrapText="1"/>
    </xf>
    <xf numFmtId="2" fontId="20" fillId="59" borderId="96" xfId="0" applyNumberFormat="1" applyFont="1" applyFill="1" applyBorder="1" applyAlignment="1">
      <alignment horizontal="right" vertical="center" wrapText="1"/>
    </xf>
    <xf numFmtId="2" fontId="19" fillId="59" borderId="96" xfId="0" applyNumberFormat="1" applyFont="1" applyFill="1" applyBorder="1" applyAlignment="1">
      <alignment horizontal="right" vertical="center" wrapText="1"/>
    </xf>
    <xf numFmtId="49" fontId="20" fillId="59" borderId="96" xfId="0" applyNumberFormat="1" applyFont="1" applyFill="1" applyBorder="1" applyAlignment="1">
      <alignment horizontal="center" vertical="center" wrapText="1"/>
    </xf>
    <xf numFmtId="0" fontId="20" fillId="37" borderId="17" xfId="0" applyFont="1" applyFill="1" applyBorder="1" applyAlignment="1">
      <alignment horizontal="center" vertical="center" wrapText="1"/>
    </xf>
    <xf numFmtId="0" fontId="19" fillId="37" borderId="17" xfId="0" applyFont="1" applyFill="1" applyBorder="1" applyAlignment="1">
      <alignment horizontal="center" vertical="center" wrapText="1"/>
    </xf>
    <xf numFmtId="49" fontId="20" fillId="37" borderId="17" xfId="0" applyNumberFormat="1" applyFont="1" applyFill="1" applyBorder="1" applyAlignment="1">
      <alignment horizontal="center" vertical="center" wrapText="1"/>
    </xf>
    <xf numFmtId="1" fontId="20" fillId="37" borderId="17" xfId="19" applyNumberFormat="1" applyFont="1" applyFill="1" applyBorder="1" applyAlignment="1">
      <alignment horizontal="center" vertical="center" wrapText="1"/>
    </xf>
    <xf numFmtId="2" fontId="20" fillId="37" borderId="17" xfId="0" applyNumberFormat="1" applyFont="1" applyFill="1" applyBorder="1" applyAlignment="1">
      <alignment horizontal="right" vertical="center" wrapText="1"/>
    </xf>
    <xf numFmtId="0" fontId="20" fillId="0" borderId="17" xfId="0" quotePrefix="1" applyFont="1" applyBorder="1" applyAlignment="1">
      <alignment horizontal="left" vertical="center" wrapText="1"/>
    </xf>
    <xf numFmtId="0" fontId="19" fillId="12" borderId="17" xfId="0" applyFont="1" applyFill="1" applyBorder="1" applyAlignment="1">
      <alignment horizontal="left" vertical="center" wrapText="1"/>
    </xf>
    <xf numFmtId="0" fontId="20" fillId="0" borderId="17" xfId="0" applyFont="1" applyBorder="1" applyAlignment="1">
      <alignment horizontal="left" vertical="center" wrapText="1"/>
    </xf>
    <xf numFmtId="0" fontId="20" fillId="37" borderId="17" xfId="0" applyFont="1" applyFill="1" applyBorder="1" applyAlignment="1">
      <alignment horizontal="left" vertical="center" wrapText="1"/>
    </xf>
    <xf numFmtId="0" fontId="19" fillId="0" borderId="17" xfId="0" applyFont="1" applyBorder="1" applyAlignment="1">
      <alignment horizontal="left" vertical="center" wrapText="1"/>
    </xf>
    <xf numFmtId="0" fontId="19" fillId="59" borderId="96" xfId="0" applyFont="1" applyFill="1" applyBorder="1" applyAlignment="1">
      <alignment horizontal="left" vertical="center" wrapText="1"/>
    </xf>
    <xf numFmtId="0" fontId="19" fillId="12" borderId="84" xfId="0" applyFont="1" applyFill="1" applyBorder="1" applyAlignment="1">
      <alignment horizontal="left" vertical="center" wrapText="1"/>
    </xf>
    <xf numFmtId="0" fontId="20" fillId="9" borderId="17" xfId="0" applyFont="1" applyFill="1" applyBorder="1" applyAlignment="1">
      <alignment horizontal="left" vertical="center" wrapText="1"/>
    </xf>
    <xf numFmtId="0" fontId="58" fillId="0" borderId="0" xfId="0" applyFont="1"/>
    <xf numFmtId="0" fontId="26" fillId="8" borderId="17" xfId="0" applyFont="1" applyFill="1" applyBorder="1" applyAlignment="1">
      <alignment horizontal="left" vertical="center" wrapText="1"/>
    </xf>
    <xf numFmtId="0" fontId="29" fillId="8" borderId="17" xfId="0" applyFont="1" applyFill="1" applyBorder="1" applyAlignment="1">
      <alignment horizontal="left" vertical="center"/>
    </xf>
    <xf numFmtId="0" fontId="20" fillId="0" borderId="11" xfId="0" applyFont="1" applyBorder="1" applyAlignment="1">
      <alignment horizontal="left"/>
    </xf>
    <xf numFmtId="0" fontId="20" fillId="0" borderId="0" xfId="0" applyFont="1" applyAlignment="1">
      <alignment horizontal="left"/>
    </xf>
    <xf numFmtId="0" fontId="19" fillId="0" borderId="17" xfId="0" applyFont="1" applyBorder="1" applyAlignment="1">
      <alignment horizontal="left" vertical="center"/>
    </xf>
    <xf numFmtId="0" fontId="20" fillId="12" borderId="15" xfId="0" applyFont="1" applyFill="1" applyBorder="1" applyAlignment="1">
      <alignment horizontal="left" vertical="center" wrapText="1"/>
    </xf>
    <xf numFmtId="0" fontId="20" fillId="0" borderId="15" xfId="0" applyFont="1" applyBorder="1" applyAlignment="1">
      <alignment horizontal="left" vertical="center" wrapText="1"/>
    </xf>
    <xf numFmtId="0" fontId="20" fillId="12" borderId="17" xfId="0" applyFont="1" applyFill="1" applyBorder="1" applyAlignment="1">
      <alignment horizontal="left" vertical="center" wrapText="1"/>
    </xf>
    <xf numFmtId="0" fontId="20" fillId="59" borderId="96" xfId="0" applyFont="1" applyFill="1" applyBorder="1" applyAlignment="1">
      <alignment horizontal="left" vertical="center" wrapText="1"/>
    </xf>
    <xf numFmtId="0" fontId="20" fillId="0" borderId="15" xfId="0" quotePrefix="1" applyFont="1" applyBorder="1" applyAlignment="1">
      <alignment horizontal="left" vertical="center" wrapText="1"/>
    </xf>
    <xf numFmtId="1" fontId="20" fillId="0" borderId="17" xfId="0" applyNumberFormat="1" applyFont="1" applyBorder="1" applyAlignment="1">
      <alignment horizontal="left" vertical="center" wrapText="1"/>
    </xf>
    <xf numFmtId="1" fontId="20" fillId="12" borderId="17" xfId="0" applyNumberFormat="1" applyFont="1" applyFill="1" applyBorder="1" applyAlignment="1">
      <alignment horizontal="left" vertical="center" wrapText="1"/>
    </xf>
    <xf numFmtId="0" fontId="4" fillId="0" borderId="0" xfId="0" applyFont="1" applyAlignment="1">
      <alignment horizontal="left" vertical="center"/>
    </xf>
    <xf numFmtId="1" fontId="20" fillId="0" borderId="0" xfId="0" applyNumberFormat="1" applyFont="1" applyAlignment="1">
      <alignment horizontal="left" vertical="center" wrapText="1"/>
    </xf>
    <xf numFmtId="0" fontId="0" fillId="0" borderId="0" xfId="0" applyAlignment="1">
      <alignment horizontal="left"/>
    </xf>
    <xf numFmtId="0" fontId="19" fillId="0" borderId="0" xfId="0" applyFont="1" applyAlignment="1">
      <alignment horizontal="center"/>
    </xf>
    <xf numFmtId="2" fontId="0" fillId="0" borderId="0" xfId="0" applyNumberFormat="1" applyAlignment="1">
      <alignment vertical="center"/>
    </xf>
    <xf numFmtId="0" fontId="5" fillId="0" borderId="0" xfId="0" applyFont="1" applyAlignment="1">
      <alignment vertical="center"/>
    </xf>
    <xf numFmtId="0" fontId="121" fillId="8" borderId="0" xfId="0" applyFont="1" applyFill="1" applyAlignment="1">
      <alignment horizontal="center" vertical="center"/>
    </xf>
    <xf numFmtId="165" fontId="111" fillId="0" borderId="0" xfId="0" applyNumberFormat="1" applyFont="1"/>
    <xf numFmtId="179" fontId="111" fillId="0" borderId="0" xfId="0" applyNumberFormat="1" applyFont="1"/>
    <xf numFmtId="2" fontId="111" fillId="0" borderId="0" xfId="0" applyNumberFormat="1" applyFont="1"/>
    <xf numFmtId="0" fontId="111" fillId="0" borderId="0" xfId="0" applyFont="1" applyAlignment="1">
      <alignment horizontal="left"/>
    </xf>
    <xf numFmtId="189" fontId="111" fillId="0" borderId="0" xfId="0" applyNumberFormat="1" applyFont="1"/>
    <xf numFmtId="0" fontId="126" fillId="8" borderId="0" xfId="0" applyFont="1" applyFill="1" applyAlignment="1">
      <alignment horizontal="center" vertical="center" wrapText="1"/>
    </xf>
    <xf numFmtId="0" fontId="45" fillId="0" borderId="0" xfId="0" applyFont="1"/>
    <xf numFmtId="0" fontId="127" fillId="0" borderId="0" xfId="0" applyFont="1"/>
    <xf numFmtId="49" fontId="125" fillId="0" borderId="97" xfId="0" applyNumberFormat="1" applyFont="1" applyBorder="1" applyAlignment="1">
      <alignment vertical="top"/>
    </xf>
    <xf numFmtId="0" fontId="125" fillId="0" borderId="98" xfId="0" applyFont="1" applyBorder="1" applyAlignment="1">
      <alignment vertical="top" wrapText="1"/>
    </xf>
    <xf numFmtId="0" fontId="125" fillId="0" borderId="98" xfId="0" applyFont="1" applyBorder="1" applyAlignment="1">
      <alignment vertical="top"/>
    </xf>
    <xf numFmtId="183" fontId="125" fillId="0" borderId="98" xfId="0" applyNumberFormat="1" applyFont="1" applyBorder="1" applyAlignment="1">
      <alignment vertical="top"/>
    </xf>
    <xf numFmtId="190" fontId="125" fillId="0" borderId="98" xfId="0" applyNumberFormat="1" applyFont="1" applyBorder="1" applyAlignment="1">
      <alignment vertical="top"/>
    </xf>
    <xf numFmtId="184" fontId="125" fillId="0" borderId="98" xfId="0" applyNumberFormat="1" applyFont="1" applyBorder="1" applyAlignment="1">
      <alignment vertical="top"/>
    </xf>
    <xf numFmtId="1" fontId="125" fillId="0" borderId="99" xfId="0" applyNumberFormat="1" applyFont="1" applyBorder="1" applyAlignment="1">
      <alignment vertical="top"/>
    </xf>
    <xf numFmtId="49" fontId="41" fillId="0" borderId="100" xfId="0" applyNumberFormat="1" applyFont="1" applyBorder="1" applyAlignment="1">
      <alignment vertical="top"/>
    </xf>
    <xf numFmtId="0" fontId="41" fillId="0" borderId="88" xfId="0" applyFont="1" applyBorder="1" applyAlignment="1">
      <alignment vertical="top" wrapText="1"/>
    </xf>
    <xf numFmtId="0" fontId="41" fillId="0" borderId="88" xfId="0" applyFont="1" applyBorder="1" applyAlignment="1">
      <alignment vertical="top"/>
    </xf>
    <xf numFmtId="183" fontId="41" fillId="0" borderId="88" xfId="0" applyNumberFormat="1" applyFont="1" applyBorder="1" applyAlignment="1">
      <alignment vertical="top"/>
    </xf>
    <xf numFmtId="190" fontId="41" fillId="0" borderId="88" xfId="0" applyNumberFormat="1" applyFont="1" applyBorder="1" applyAlignment="1">
      <alignment vertical="top"/>
    </xf>
    <xf numFmtId="184" fontId="41" fillId="0" borderId="88" xfId="0" applyNumberFormat="1" applyFont="1" applyBorder="1" applyAlignment="1">
      <alignment vertical="top"/>
    </xf>
    <xf numFmtId="1" fontId="41" fillId="0" borderId="101" xfId="0" applyNumberFormat="1" applyFont="1" applyBorder="1" applyAlignment="1">
      <alignment vertical="top"/>
    </xf>
    <xf numFmtId="49" fontId="125" fillId="0" borderId="100" xfId="0" applyNumberFormat="1" applyFont="1" applyBorder="1" applyAlignment="1">
      <alignment vertical="top"/>
    </xf>
    <xf numFmtId="0" fontId="125" fillId="0" borderId="88" xfId="0" applyFont="1" applyBorder="1" applyAlignment="1">
      <alignment vertical="top" wrapText="1"/>
    </xf>
    <xf numFmtId="0" fontId="125" fillId="0" borderId="88" xfId="0" applyFont="1" applyBorder="1" applyAlignment="1">
      <alignment vertical="top"/>
    </xf>
    <xf numFmtId="183" fontId="125" fillId="0" borderId="88" xfId="0" applyNumberFormat="1" applyFont="1" applyBorder="1" applyAlignment="1">
      <alignment vertical="top"/>
    </xf>
    <xf numFmtId="190" fontId="125" fillId="0" borderId="88" xfId="0" applyNumberFormat="1" applyFont="1" applyBorder="1" applyAlignment="1">
      <alignment vertical="top"/>
    </xf>
    <xf numFmtId="184" fontId="125" fillId="0" borderId="88" xfId="0" applyNumberFormat="1" applyFont="1" applyBorder="1" applyAlignment="1">
      <alignment vertical="top"/>
    </xf>
    <xf numFmtId="1" fontId="125" fillId="0" borderId="101" xfId="0" applyNumberFormat="1" applyFont="1" applyBorder="1" applyAlignment="1">
      <alignment vertical="top"/>
    </xf>
    <xf numFmtId="0" fontId="128" fillId="0" borderId="88" xfId="0" applyFont="1" applyBorder="1" applyAlignment="1">
      <alignment vertical="top"/>
    </xf>
    <xf numFmtId="0" fontId="41" fillId="0" borderId="101" xfId="0" applyFont="1" applyBorder="1" applyAlignment="1">
      <alignment vertical="top"/>
    </xf>
    <xf numFmtId="0" fontId="129" fillId="0" borderId="98" xfId="0" applyFont="1" applyBorder="1" applyAlignment="1">
      <alignment vertical="top"/>
    </xf>
    <xf numFmtId="0" fontId="125" fillId="0" borderId="99" xfId="0" applyFont="1" applyBorder="1" applyAlignment="1">
      <alignment vertical="top"/>
    </xf>
    <xf numFmtId="0" fontId="129" fillId="0" borderId="88" xfId="0" applyFont="1" applyBorder="1" applyAlignment="1">
      <alignment vertical="top"/>
    </xf>
    <xf numFmtId="0" fontId="125" fillId="0" borderId="101" xfId="0" applyFont="1" applyBorder="1" applyAlignment="1">
      <alignment vertical="top"/>
    </xf>
    <xf numFmtId="49" fontId="41" fillId="60" borderId="100" xfId="0" applyNumberFormat="1" applyFont="1" applyFill="1" applyBorder="1" applyAlignment="1">
      <alignment vertical="top"/>
    </xf>
    <xf numFmtId="0" fontId="41" fillId="60" borderId="88" xfId="0" applyFont="1" applyFill="1" applyBorder="1" applyAlignment="1">
      <alignment vertical="top" wrapText="1"/>
    </xf>
    <xf numFmtId="0" fontId="41" fillId="60" borderId="88" xfId="0" applyFont="1" applyFill="1" applyBorder="1" applyAlignment="1">
      <alignment vertical="top"/>
    </xf>
    <xf numFmtId="183" fontId="41" fillId="60" borderId="88" xfId="0" applyNumberFormat="1" applyFont="1" applyFill="1" applyBorder="1" applyAlignment="1">
      <alignment vertical="top"/>
    </xf>
    <xf numFmtId="190" fontId="41" fillId="60" borderId="88" xfId="0" applyNumberFormat="1" applyFont="1" applyFill="1" applyBorder="1" applyAlignment="1">
      <alignment vertical="top"/>
    </xf>
    <xf numFmtId="184" fontId="41" fillId="60" borderId="88" xfId="0" applyNumberFormat="1" applyFont="1" applyFill="1" applyBorder="1" applyAlignment="1">
      <alignment vertical="top"/>
    </xf>
    <xf numFmtId="49" fontId="125" fillId="60" borderId="100" xfId="0" applyNumberFormat="1" applyFont="1" applyFill="1" applyBorder="1" applyAlignment="1">
      <alignment vertical="top"/>
    </xf>
    <xf numFmtId="0" fontId="125" fillId="60" borderId="88" xfId="0" applyFont="1" applyFill="1" applyBorder="1" applyAlignment="1">
      <alignment vertical="top" wrapText="1"/>
    </xf>
    <xf numFmtId="0" fontId="125" fillId="60" borderId="88" xfId="0" applyFont="1" applyFill="1" applyBorder="1" applyAlignment="1">
      <alignment vertical="top"/>
    </xf>
    <xf numFmtId="183" fontId="125" fillId="60" borderId="88" xfId="0" applyNumberFormat="1" applyFont="1" applyFill="1" applyBorder="1" applyAlignment="1">
      <alignment vertical="top"/>
    </xf>
    <xf numFmtId="190" fontId="125" fillId="60" borderId="88" xfId="0" applyNumberFormat="1" applyFont="1" applyFill="1" applyBorder="1" applyAlignment="1">
      <alignment vertical="top"/>
    </xf>
    <xf numFmtId="184" fontId="125" fillId="60" borderId="88" xfId="0" applyNumberFormat="1" applyFont="1" applyFill="1" applyBorder="1" applyAlignment="1">
      <alignment vertical="top"/>
    </xf>
    <xf numFmtId="0" fontId="129" fillId="60" borderId="88" xfId="0" applyFont="1" applyFill="1" applyBorder="1" applyAlignment="1">
      <alignment vertical="top"/>
    </xf>
    <xf numFmtId="0" fontId="125" fillId="60" borderId="101" xfId="0" applyFont="1" applyFill="1" applyBorder="1" applyAlignment="1">
      <alignment vertical="top"/>
    </xf>
    <xf numFmtId="49" fontId="41" fillId="61" borderId="100" xfId="0" applyNumberFormat="1" applyFont="1" applyFill="1" applyBorder="1" applyAlignment="1">
      <alignment vertical="top"/>
    </xf>
    <xf numFmtId="0" fontId="41" fillId="61" borderId="88" xfId="0" applyFont="1" applyFill="1" applyBorder="1" applyAlignment="1">
      <alignment vertical="top" wrapText="1"/>
    </xf>
    <xf numFmtId="0" fontId="41" fillId="61" borderId="88" xfId="0" applyFont="1" applyFill="1" applyBorder="1" applyAlignment="1">
      <alignment vertical="top"/>
    </xf>
    <xf numFmtId="183" fontId="41" fillId="61" borderId="88" xfId="0" applyNumberFormat="1" applyFont="1" applyFill="1" applyBorder="1" applyAlignment="1">
      <alignment vertical="top"/>
    </xf>
    <xf numFmtId="190" fontId="41" fillId="61" borderId="88" xfId="0" applyNumberFormat="1" applyFont="1" applyFill="1" applyBorder="1" applyAlignment="1">
      <alignment vertical="top"/>
    </xf>
    <xf numFmtId="184" fontId="41" fillId="61" borderId="88" xfId="0" applyNumberFormat="1" applyFont="1" applyFill="1" applyBorder="1" applyAlignment="1">
      <alignment vertical="top"/>
    </xf>
    <xf numFmtId="49" fontId="125" fillId="61" borderId="100" xfId="0" applyNumberFormat="1" applyFont="1" applyFill="1" applyBorder="1" applyAlignment="1">
      <alignment vertical="top"/>
    </xf>
    <xf numFmtId="0" fontId="125" fillId="61" borderId="88" xfId="0" applyFont="1" applyFill="1" applyBorder="1" applyAlignment="1">
      <alignment vertical="top" wrapText="1"/>
    </xf>
    <xf numFmtId="0" fontId="125" fillId="61" borderId="88" xfId="0" applyFont="1" applyFill="1" applyBorder="1" applyAlignment="1">
      <alignment vertical="top"/>
    </xf>
    <xf numFmtId="183" fontId="125" fillId="61" borderId="88" xfId="0" applyNumberFormat="1" applyFont="1" applyFill="1" applyBorder="1" applyAlignment="1">
      <alignment vertical="top"/>
    </xf>
    <xf numFmtId="190" fontId="125" fillId="61" borderId="88" xfId="0" applyNumberFormat="1" applyFont="1" applyFill="1" applyBorder="1" applyAlignment="1">
      <alignment vertical="top"/>
    </xf>
    <xf numFmtId="184" fontId="125" fillId="61" borderId="88" xfId="0" applyNumberFormat="1" applyFont="1" applyFill="1" applyBorder="1" applyAlignment="1">
      <alignment vertical="top"/>
    </xf>
    <xf numFmtId="0" fontId="129" fillId="61" borderId="88" xfId="0" applyFont="1" applyFill="1" applyBorder="1" applyAlignment="1">
      <alignment vertical="top"/>
    </xf>
    <xf numFmtId="0" fontId="125" fillId="61" borderId="101" xfId="0" applyFont="1" applyFill="1" applyBorder="1" applyAlignment="1">
      <alignment vertical="top"/>
    </xf>
    <xf numFmtId="49" fontId="41" fillId="46" borderId="100" xfId="0" applyNumberFormat="1" applyFont="1" applyFill="1" applyBorder="1" applyAlignment="1">
      <alignment vertical="top"/>
    </xf>
    <xf numFmtId="0" fontId="41" fillId="46" borderId="88" xfId="0" applyFont="1" applyFill="1" applyBorder="1" applyAlignment="1">
      <alignment vertical="top" wrapText="1"/>
    </xf>
    <xf numFmtId="0" fontId="41" fillId="46" borderId="88" xfId="0" applyFont="1" applyFill="1" applyBorder="1" applyAlignment="1">
      <alignment vertical="top"/>
    </xf>
    <xf numFmtId="183" fontId="41" fillId="46" borderId="88" xfId="0" applyNumberFormat="1" applyFont="1" applyFill="1" applyBorder="1" applyAlignment="1">
      <alignment vertical="top"/>
    </xf>
    <xf numFmtId="190" fontId="41" fillId="46" borderId="88" xfId="0" applyNumberFormat="1" applyFont="1" applyFill="1" applyBorder="1" applyAlignment="1">
      <alignment vertical="top"/>
    </xf>
    <xf numFmtId="184" fontId="41" fillId="46" borderId="88" xfId="0" applyNumberFormat="1" applyFont="1" applyFill="1" applyBorder="1" applyAlignment="1">
      <alignment vertical="top"/>
    </xf>
    <xf numFmtId="49" fontId="125" fillId="46" borderId="100" xfId="0" applyNumberFormat="1" applyFont="1" applyFill="1" applyBorder="1" applyAlignment="1">
      <alignment vertical="top"/>
    </xf>
    <xf numFmtId="0" fontId="125" fillId="46" borderId="88" xfId="0" applyFont="1" applyFill="1" applyBorder="1" applyAlignment="1">
      <alignment vertical="top" wrapText="1"/>
    </xf>
    <xf numFmtId="0" fontId="125" fillId="46" borderId="88" xfId="0" applyFont="1" applyFill="1" applyBorder="1" applyAlignment="1">
      <alignment vertical="top"/>
    </xf>
    <xf numFmtId="183" fontId="125" fillId="46" borderId="88" xfId="0" applyNumberFormat="1" applyFont="1" applyFill="1" applyBorder="1" applyAlignment="1">
      <alignment vertical="top"/>
    </xf>
    <xf numFmtId="190" fontId="125" fillId="46" borderId="88" xfId="0" applyNumberFormat="1" applyFont="1" applyFill="1" applyBorder="1" applyAlignment="1">
      <alignment vertical="top"/>
    </xf>
    <xf numFmtId="184" fontId="125" fillId="46" borderId="88" xfId="0" applyNumberFormat="1" applyFont="1" applyFill="1" applyBorder="1" applyAlignment="1">
      <alignment vertical="top"/>
    </xf>
    <xf numFmtId="0" fontId="129" fillId="46" borderId="88" xfId="0" applyFont="1" applyFill="1" applyBorder="1" applyAlignment="1">
      <alignment vertical="top"/>
    </xf>
    <xf numFmtId="0" fontId="125" fillId="46" borderId="101" xfId="0" applyFont="1" applyFill="1" applyBorder="1" applyAlignment="1">
      <alignment vertical="top"/>
    </xf>
    <xf numFmtId="49" fontId="41" fillId="58" borderId="100" xfId="0" applyNumberFormat="1" applyFont="1" applyFill="1" applyBorder="1" applyAlignment="1">
      <alignment vertical="top"/>
    </xf>
    <xf numFmtId="0" fontId="41" fillId="58" borderId="88" xfId="0" applyFont="1" applyFill="1" applyBorder="1" applyAlignment="1">
      <alignment vertical="top" wrapText="1"/>
    </xf>
    <xf numFmtId="0" fontId="41" fillId="58" borderId="88" xfId="0" applyFont="1" applyFill="1" applyBorder="1" applyAlignment="1">
      <alignment vertical="top"/>
    </xf>
    <xf numFmtId="183" fontId="41" fillId="58" borderId="88" xfId="0" applyNumberFormat="1" applyFont="1" applyFill="1" applyBorder="1" applyAlignment="1">
      <alignment vertical="top"/>
    </xf>
    <xf numFmtId="190" fontId="41" fillId="58" borderId="88" xfId="0" applyNumberFormat="1" applyFont="1" applyFill="1" applyBorder="1" applyAlignment="1">
      <alignment vertical="top"/>
    </xf>
    <xf numFmtId="184" fontId="41" fillId="58" borderId="88" xfId="0" applyNumberFormat="1" applyFont="1" applyFill="1" applyBorder="1" applyAlignment="1">
      <alignment vertical="top"/>
    </xf>
    <xf numFmtId="49" fontId="125" fillId="58" borderId="100" xfId="0" applyNumberFormat="1" applyFont="1" applyFill="1" applyBorder="1" applyAlignment="1">
      <alignment vertical="top"/>
    </xf>
    <xf numFmtId="0" fontId="125" fillId="58" borderId="88" xfId="0" applyFont="1" applyFill="1" applyBorder="1" applyAlignment="1">
      <alignment vertical="top" wrapText="1"/>
    </xf>
    <xf numFmtId="0" fontId="125" fillId="58" borderId="88" xfId="0" applyFont="1" applyFill="1" applyBorder="1" applyAlignment="1">
      <alignment vertical="top"/>
    </xf>
    <xf numFmtId="183" fontId="125" fillId="58" borderId="88" xfId="0" applyNumberFormat="1" applyFont="1" applyFill="1" applyBorder="1" applyAlignment="1">
      <alignment vertical="top"/>
    </xf>
    <xf numFmtId="190" fontId="125" fillId="58" borderId="88" xfId="0" applyNumberFormat="1" applyFont="1" applyFill="1" applyBorder="1" applyAlignment="1">
      <alignment vertical="top"/>
    </xf>
    <xf numFmtId="184" fontId="125" fillId="58" borderId="88" xfId="0" applyNumberFormat="1" applyFont="1" applyFill="1" applyBorder="1" applyAlignment="1">
      <alignment vertical="top"/>
    </xf>
    <xf numFmtId="0" fontId="129" fillId="58" borderId="88" xfId="0" applyFont="1" applyFill="1" applyBorder="1" applyAlignment="1">
      <alignment vertical="top"/>
    </xf>
    <xf numFmtId="0" fontId="125" fillId="58" borderId="101" xfId="0" applyFont="1" applyFill="1" applyBorder="1" applyAlignment="1">
      <alignment vertical="top"/>
    </xf>
    <xf numFmtId="49" fontId="41" fillId="62" borderId="100" xfId="0" applyNumberFormat="1" applyFont="1" applyFill="1" applyBorder="1" applyAlignment="1">
      <alignment vertical="top"/>
    </xf>
    <xf numFmtId="0" fontId="41" fillId="62" borderId="88" xfId="0" applyFont="1" applyFill="1" applyBorder="1" applyAlignment="1">
      <alignment vertical="top" wrapText="1"/>
    </xf>
    <xf numFmtId="0" fontId="41" fillId="62" borderId="88" xfId="0" applyFont="1" applyFill="1" applyBorder="1" applyAlignment="1">
      <alignment vertical="top"/>
    </xf>
    <xf numFmtId="183" fontId="41" fillId="62" borderId="88" xfId="0" applyNumberFormat="1" applyFont="1" applyFill="1" applyBorder="1" applyAlignment="1">
      <alignment vertical="top"/>
    </xf>
    <xf numFmtId="190" fontId="41" fillId="62" borderId="88" xfId="0" applyNumberFormat="1" applyFont="1" applyFill="1" applyBorder="1" applyAlignment="1">
      <alignment vertical="top"/>
    </xf>
    <xf numFmtId="184" fontId="41" fillId="62" borderId="88" xfId="0" applyNumberFormat="1" applyFont="1" applyFill="1" applyBorder="1" applyAlignment="1">
      <alignment vertical="top"/>
    </xf>
    <xf numFmtId="49" fontId="125" fillId="62" borderId="100" xfId="0" applyNumberFormat="1" applyFont="1" applyFill="1" applyBorder="1" applyAlignment="1">
      <alignment vertical="top"/>
    </xf>
    <xf numFmtId="0" fontId="125" fillId="62" borderId="88" xfId="0" applyFont="1" applyFill="1" applyBorder="1" applyAlignment="1">
      <alignment vertical="top" wrapText="1"/>
    </xf>
    <xf numFmtId="0" fontId="125" fillId="62" borderId="88" xfId="0" applyFont="1" applyFill="1" applyBorder="1" applyAlignment="1">
      <alignment vertical="top"/>
    </xf>
    <xf numFmtId="183" fontId="125" fillId="62" borderId="88" xfId="0" applyNumberFormat="1" applyFont="1" applyFill="1" applyBorder="1" applyAlignment="1">
      <alignment vertical="top"/>
    </xf>
    <xf numFmtId="190" fontId="125" fillId="62" borderId="88" xfId="0" applyNumberFormat="1" applyFont="1" applyFill="1" applyBorder="1" applyAlignment="1">
      <alignment vertical="top"/>
    </xf>
    <xf numFmtId="184" fontId="125" fillId="62" borderId="88" xfId="0" applyNumberFormat="1" applyFont="1" applyFill="1" applyBorder="1" applyAlignment="1">
      <alignment vertical="top"/>
    </xf>
    <xf numFmtId="0" fontId="129" fillId="62" borderId="88" xfId="0" applyFont="1" applyFill="1" applyBorder="1" applyAlignment="1">
      <alignment vertical="top"/>
    </xf>
    <xf numFmtId="0" fontId="125" fillId="62" borderId="101" xfId="0" applyFont="1" applyFill="1" applyBorder="1" applyAlignment="1">
      <alignment vertical="top"/>
    </xf>
    <xf numFmtId="49" fontId="41" fillId="63" borderId="100" xfId="0" applyNumberFormat="1" applyFont="1" applyFill="1" applyBorder="1" applyAlignment="1">
      <alignment vertical="top"/>
    </xf>
    <xf numFmtId="0" fontId="41" fillId="63" borderId="88" xfId="0" applyFont="1" applyFill="1" applyBorder="1" applyAlignment="1">
      <alignment vertical="top" wrapText="1"/>
    </xf>
    <xf numFmtId="0" fontId="41" fillId="63" borderId="88" xfId="0" applyFont="1" applyFill="1" applyBorder="1" applyAlignment="1">
      <alignment vertical="top"/>
    </xf>
    <xf numFmtId="183" fontId="41" fillId="63" borderId="88" xfId="0" applyNumberFormat="1" applyFont="1" applyFill="1" applyBorder="1" applyAlignment="1">
      <alignment vertical="top"/>
    </xf>
    <xf numFmtId="190" fontId="41" fillId="63" borderId="88" xfId="0" applyNumberFormat="1" applyFont="1" applyFill="1" applyBorder="1" applyAlignment="1">
      <alignment vertical="top"/>
    </xf>
    <xf numFmtId="184" fontId="41" fillId="63" borderId="88" xfId="0" applyNumberFormat="1" applyFont="1" applyFill="1" applyBorder="1" applyAlignment="1">
      <alignment vertical="top"/>
    </xf>
    <xf numFmtId="49" fontId="125" fillId="63" borderId="100" xfId="0" applyNumberFormat="1" applyFont="1" applyFill="1" applyBorder="1" applyAlignment="1">
      <alignment vertical="top"/>
    </xf>
    <xf numFmtId="0" fontId="125" fillId="63" borderId="88" xfId="0" applyFont="1" applyFill="1" applyBorder="1" applyAlignment="1">
      <alignment vertical="top" wrapText="1"/>
    </xf>
    <xf numFmtId="0" fontId="125" fillId="63" borderId="88" xfId="0" applyFont="1" applyFill="1" applyBorder="1" applyAlignment="1">
      <alignment vertical="top"/>
    </xf>
    <xf numFmtId="183" fontId="125" fillId="63" borderId="88" xfId="0" applyNumberFormat="1" applyFont="1" applyFill="1" applyBorder="1" applyAlignment="1">
      <alignment vertical="top"/>
    </xf>
    <xf numFmtId="190" fontId="125" fillId="63" borderId="88" xfId="0" applyNumberFormat="1" applyFont="1" applyFill="1" applyBorder="1" applyAlignment="1">
      <alignment vertical="top"/>
    </xf>
    <xf numFmtId="184" fontId="125" fillId="63" borderId="88" xfId="0" applyNumberFormat="1" applyFont="1" applyFill="1" applyBorder="1" applyAlignment="1">
      <alignment vertical="top"/>
    </xf>
    <xf numFmtId="0" fontId="129" fillId="63" borderId="88" xfId="0" applyFont="1" applyFill="1" applyBorder="1" applyAlignment="1">
      <alignment vertical="top"/>
    </xf>
    <xf numFmtId="0" fontId="125" fillId="63" borderId="101" xfId="0" applyFont="1" applyFill="1" applyBorder="1" applyAlignment="1">
      <alignment vertical="top"/>
    </xf>
    <xf numFmtId="1" fontId="41" fillId="60" borderId="101" xfId="0" applyNumberFormat="1" applyFont="1" applyFill="1" applyBorder="1" applyAlignment="1">
      <alignment vertical="top"/>
    </xf>
    <xf numFmtId="0" fontId="20" fillId="60" borderId="0" xfId="0" applyFont="1" applyFill="1"/>
    <xf numFmtId="1" fontId="41" fillId="61" borderId="101" xfId="0" applyNumberFormat="1" applyFont="1" applyFill="1" applyBorder="1" applyAlignment="1">
      <alignment vertical="top"/>
    </xf>
    <xf numFmtId="0" fontId="20" fillId="61" borderId="0" xfId="0" applyFont="1" applyFill="1"/>
    <xf numFmtId="1" fontId="41" fillId="46" borderId="101" xfId="0" applyNumberFormat="1" applyFont="1" applyFill="1" applyBorder="1" applyAlignment="1">
      <alignment vertical="top"/>
    </xf>
    <xf numFmtId="0" fontId="20" fillId="46" borderId="0" xfId="0" applyFont="1" applyFill="1"/>
    <xf numFmtId="1" fontId="41" fillId="58" borderId="101" xfId="0" applyNumberFormat="1" applyFont="1" applyFill="1" applyBorder="1" applyAlignment="1">
      <alignment vertical="top"/>
    </xf>
    <xf numFmtId="0" fontId="20" fillId="58" borderId="0" xfId="0" applyFont="1" applyFill="1"/>
    <xf numFmtId="1" fontId="41" fillId="62" borderId="101" xfId="0" applyNumberFormat="1" applyFont="1" applyFill="1" applyBorder="1" applyAlignment="1">
      <alignment vertical="top"/>
    </xf>
    <xf numFmtId="0" fontId="20" fillId="62" borderId="0" xfId="0" applyFont="1" applyFill="1"/>
    <xf numFmtId="1" fontId="41" fillId="63" borderId="101" xfId="0" applyNumberFormat="1" applyFont="1" applyFill="1" applyBorder="1" applyAlignment="1">
      <alignment vertical="top"/>
    </xf>
    <xf numFmtId="0" fontId="20" fillId="63" borderId="0" xfId="0" applyFont="1" applyFill="1"/>
    <xf numFmtId="49" fontId="125" fillId="0" borderId="102" xfId="0" applyNumberFormat="1" applyFont="1" applyBorder="1" applyAlignment="1">
      <alignment vertical="top"/>
    </xf>
    <xf numFmtId="0" fontId="125" fillId="0" borderId="103" xfId="0" applyFont="1" applyBorder="1" applyAlignment="1">
      <alignment vertical="top" wrapText="1"/>
    </xf>
    <xf numFmtId="0" fontId="125" fillId="0" borderId="103" xfId="0" applyFont="1" applyBorder="1" applyAlignment="1">
      <alignment vertical="top"/>
    </xf>
    <xf numFmtId="183" fontId="125" fillId="0" borderId="103" xfId="0" applyNumberFormat="1" applyFont="1" applyBorder="1" applyAlignment="1">
      <alignment vertical="top"/>
    </xf>
    <xf numFmtId="190" fontId="125" fillId="0" borderId="103" xfId="0" applyNumberFormat="1" applyFont="1" applyBorder="1" applyAlignment="1">
      <alignment vertical="top"/>
    </xf>
    <xf numFmtId="184" fontId="125" fillId="0" borderId="103" xfId="0" applyNumberFormat="1" applyFont="1" applyBorder="1" applyAlignment="1">
      <alignment vertical="top"/>
    </xf>
    <xf numFmtId="1" fontId="125" fillId="0" borderId="104" xfId="0" applyNumberFormat="1" applyFont="1" applyBorder="1" applyAlignment="1">
      <alignment vertical="top"/>
    </xf>
    <xf numFmtId="0" fontId="129" fillId="0" borderId="103" xfId="0" applyFont="1" applyBorder="1" applyAlignment="1">
      <alignment vertical="top"/>
    </xf>
    <xf numFmtId="0" fontId="125" fillId="0" borderId="104" xfId="0" applyFont="1" applyBorder="1" applyAlignment="1">
      <alignment vertical="top"/>
    </xf>
    <xf numFmtId="0" fontId="109" fillId="56" borderId="0" xfId="0" applyFont="1" applyFill="1"/>
    <xf numFmtId="0" fontId="109" fillId="46" borderId="0" xfId="0" applyFont="1" applyFill="1"/>
    <xf numFmtId="0" fontId="109" fillId="58" borderId="0" xfId="0" applyFont="1" applyFill="1"/>
    <xf numFmtId="0" fontId="109" fillId="44" borderId="0" xfId="0" applyFont="1" applyFill="1"/>
    <xf numFmtId="49" fontId="41" fillId="64" borderId="100" xfId="0" applyNumberFormat="1" applyFont="1" applyFill="1" applyBorder="1" applyAlignment="1">
      <alignment vertical="top"/>
    </xf>
    <xf numFmtId="0" fontId="41" fillId="64" borderId="88" xfId="0" applyFont="1" applyFill="1" applyBorder="1" applyAlignment="1">
      <alignment vertical="top" wrapText="1"/>
    </xf>
    <xf numFmtId="0" fontId="41" fillId="64" borderId="88" xfId="0" applyFont="1" applyFill="1" applyBorder="1" applyAlignment="1">
      <alignment vertical="top"/>
    </xf>
    <xf numFmtId="183" fontId="41" fillId="64" borderId="88" xfId="0" applyNumberFormat="1" applyFont="1" applyFill="1" applyBorder="1" applyAlignment="1">
      <alignment vertical="top"/>
    </xf>
    <xf numFmtId="190" fontId="41" fillId="64" borderId="88" xfId="0" applyNumberFormat="1" applyFont="1" applyFill="1" applyBorder="1" applyAlignment="1">
      <alignment vertical="top"/>
    </xf>
    <xf numFmtId="184" fontId="41" fillId="64" borderId="88" xfId="0" applyNumberFormat="1" applyFont="1" applyFill="1" applyBorder="1" applyAlignment="1">
      <alignment vertical="top"/>
    </xf>
    <xf numFmtId="1" fontId="41" fillId="64" borderId="101" xfId="0" applyNumberFormat="1" applyFont="1" applyFill="1" applyBorder="1" applyAlignment="1">
      <alignment vertical="top"/>
    </xf>
    <xf numFmtId="0" fontId="20" fillId="64" borderId="0" xfId="0" applyFont="1" applyFill="1"/>
    <xf numFmtId="1" fontId="0" fillId="0" borderId="0" xfId="0" applyNumberFormat="1"/>
    <xf numFmtId="0" fontId="131" fillId="0" borderId="0" xfId="36"/>
    <xf numFmtId="22" fontId="131" fillId="0" borderId="0" xfId="36" applyNumberFormat="1"/>
    <xf numFmtId="14" fontId="131" fillId="0" borderId="0" xfId="36" applyNumberFormat="1"/>
    <xf numFmtId="43" fontId="4" fillId="0" borderId="0" xfId="0" applyNumberFormat="1" applyFont="1" applyAlignment="1">
      <alignment horizontal="center" vertical="center"/>
    </xf>
    <xf numFmtId="14" fontId="0" fillId="0" borderId="0" xfId="0" applyNumberFormat="1"/>
    <xf numFmtId="190" fontId="41" fillId="0" borderId="98" xfId="0" applyNumberFormat="1" applyFont="1" applyBorder="1" applyAlignment="1">
      <alignment horizontal="center" vertical="top"/>
    </xf>
    <xf numFmtId="190" fontId="41" fillId="0" borderId="88" xfId="0" applyNumberFormat="1" applyFont="1" applyBorder="1" applyAlignment="1">
      <alignment horizontal="center" vertical="top"/>
    </xf>
    <xf numFmtId="49" fontId="132" fillId="65" borderId="0" xfId="0" applyNumberFormat="1" applyFont="1" applyFill="1" applyAlignment="1">
      <alignment horizontal="center"/>
    </xf>
    <xf numFmtId="2" fontId="131" fillId="0" borderId="0" xfId="36" applyNumberFormat="1"/>
    <xf numFmtId="0" fontId="111" fillId="0" borderId="0" xfId="0" applyFont="1" applyAlignment="1">
      <alignment horizontal="left"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right" wrapText="1"/>
    </xf>
    <xf numFmtId="1" fontId="0" fillId="0" borderId="0" xfId="0" applyNumberFormat="1" applyAlignment="1">
      <alignment horizontal="center" vertical="center" wrapText="1"/>
    </xf>
    <xf numFmtId="193" fontId="0" fillId="0" borderId="0" xfId="0" applyNumberFormat="1" applyAlignment="1">
      <alignment horizontal="right" wrapText="1"/>
    </xf>
    <xf numFmtId="0" fontId="106" fillId="50" borderId="0" xfId="0" applyFont="1" applyFill="1"/>
    <xf numFmtId="0" fontId="106" fillId="50" borderId="0" xfId="0" applyFont="1" applyFill="1" applyAlignment="1">
      <alignment wrapText="1"/>
    </xf>
    <xf numFmtId="0" fontId="106" fillId="50" borderId="0" xfId="0" applyFont="1" applyFill="1" applyAlignment="1">
      <alignment horizontal="center" vertical="center" wrapText="1"/>
    </xf>
    <xf numFmtId="14" fontId="106" fillId="50" borderId="0" xfId="0" applyNumberFormat="1" applyFont="1" applyFill="1" applyAlignment="1">
      <alignment horizontal="center" vertical="center" wrapText="1"/>
    </xf>
    <xf numFmtId="1" fontId="106" fillId="50" borderId="0" xfId="0" applyNumberFormat="1" applyFont="1" applyFill="1" applyAlignment="1">
      <alignment horizontal="center" vertical="center" wrapText="1"/>
    </xf>
    <xf numFmtId="193" fontId="106" fillId="50" borderId="0" xfId="0" applyNumberFormat="1" applyFont="1" applyFill="1" applyAlignment="1">
      <alignment horizontal="right" wrapText="1"/>
    </xf>
    <xf numFmtId="0" fontId="106" fillId="40" borderId="0" xfId="0" applyFont="1" applyFill="1"/>
    <xf numFmtId="0" fontId="106" fillId="40" borderId="0" xfId="0" applyFont="1" applyFill="1" applyAlignment="1">
      <alignment wrapText="1"/>
    </xf>
    <xf numFmtId="0" fontId="106" fillId="40" borderId="0" xfId="0" applyFont="1" applyFill="1" applyAlignment="1">
      <alignment horizontal="center" vertical="center" wrapText="1"/>
    </xf>
    <xf numFmtId="14" fontId="106" fillId="40" borderId="0" xfId="0" applyNumberFormat="1" applyFont="1" applyFill="1" applyAlignment="1">
      <alignment horizontal="center" vertical="center" wrapText="1"/>
    </xf>
    <xf numFmtId="1" fontId="106" fillId="40" borderId="0" xfId="0" applyNumberFormat="1" applyFont="1" applyFill="1" applyAlignment="1">
      <alignment horizontal="center" vertical="center" wrapText="1"/>
    </xf>
    <xf numFmtId="193" fontId="106" fillId="40" borderId="0" xfId="0" applyNumberFormat="1" applyFont="1" applyFill="1" applyAlignment="1">
      <alignment horizontal="right" wrapText="1"/>
    </xf>
    <xf numFmtId="0" fontId="106" fillId="66" borderId="0" xfId="0" applyFont="1" applyFill="1"/>
    <xf numFmtId="0" fontId="106" fillId="66" borderId="0" xfId="0" applyFont="1" applyFill="1" applyAlignment="1">
      <alignment wrapText="1"/>
    </xf>
    <xf numFmtId="0" fontId="106" fillId="66" borderId="0" xfId="0" applyFont="1" applyFill="1" applyAlignment="1">
      <alignment horizontal="center" vertical="center" wrapText="1"/>
    </xf>
    <xf numFmtId="14" fontId="106" fillId="66" borderId="0" xfId="0" applyNumberFormat="1" applyFont="1" applyFill="1" applyAlignment="1">
      <alignment horizontal="center" vertical="center" wrapText="1"/>
    </xf>
    <xf numFmtId="1" fontId="106" fillId="66" borderId="0" xfId="0" applyNumberFormat="1" applyFont="1" applyFill="1" applyAlignment="1">
      <alignment horizontal="center" vertical="center" wrapText="1"/>
    </xf>
    <xf numFmtId="193" fontId="106" fillId="66" borderId="0" xfId="0" applyNumberFormat="1" applyFont="1" applyFill="1" applyAlignment="1">
      <alignment horizontal="right" wrapText="1"/>
    </xf>
    <xf numFmtId="0" fontId="133" fillId="56" borderId="0" xfId="0" applyFont="1" applyFill="1"/>
    <xf numFmtId="0" fontId="133" fillId="56" borderId="0" xfId="0" applyFont="1" applyFill="1" applyAlignment="1">
      <alignment wrapText="1"/>
    </xf>
    <xf numFmtId="0" fontId="133" fillId="56" borderId="0" xfId="0" applyFont="1" applyFill="1" applyAlignment="1">
      <alignment horizontal="center" vertical="center" wrapText="1"/>
    </xf>
    <xf numFmtId="14" fontId="133" fillId="56" borderId="0" xfId="0" applyNumberFormat="1" applyFont="1" applyFill="1" applyAlignment="1">
      <alignment horizontal="center" vertical="center" wrapText="1"/>
    </xf>
    <xf numFmtId="1" fontId="133" fillId="56" borderId="0" xfId="0" applyNumberFormat="1" applyFont="1" applyFill="1" applyAlignment="1">
      <alignment horizontal="center" vertical="center" wrapText="1"/>
    </xf>
    <xf numFmtId="193" fontId="133" fillId="56" borderId="0" xfId="0" applyNumberFormat="1" applyFont="1" applyFill="1" applyAlignment="1">
      <alignment horizontal="right" wrapText="1"/>
    </xf>
    <xf numFmtId="0" fontId="133" fillId="67" borderId="0" xfId="0" applyFont="1" applyFill="1"/>
    <xf numFmtId="0" fontId="133" fillId="67" borderId="0" xfId="0" applyFont="1" applyFill="1" applyAlignment="1">
      <alignment wrapText="1"/>
    </xf>
    <xf numFmtId="0" fontId="133" fillId="67" borderId="0" xfId="0" applyFont="1" applyFill="1" applyAlignment="1">
      <alignment horizontal="center" vertical="center" wrapText="1"/>
    </xf>
    <xf numFmtId="14" fontId="133" fillId="67" borderId="0" xfId="0" applyNumberFormat="1" applyFont="1" applyFill="1" applyAlignment="1">
      <alignment horizontal="center" vertical="center" wrapText="1"/>
    </xf>
    <xf numFmtId="1" fontId="133" fillId="67" borderId="0" xfId="0" applyNumberFormat="1" applyFont="1" applyFill="1" applyAlignment="1">
      <alignment horizontal="center" vertical="center" wrapText="1"/>
    </xf>
    <xf numFmtId="193" fontId="133" fillId="67" borderId="0" xfId="0" applyNumberFormat="1" applyFont="1" applyFill="1" applyAlignment="1">
      <alignment horizontal="right" wrapText="1"/>
    </xf>
    <xf numFmtId="0" fontId="102" fillId="46" borderId="0" xfId="0" applyFont="1" applyFill="1" applyAlignment="1">
      <alignment horizontal="center"/>
    </xf>
    <xf numFmtId="194" fontId="109" fillId="0" borderId="0" xfId="0" applyNumberFormat="1" applyFont="1" applyAlignment="1">
      <alignment horizontal="center"/>
    </xf>
    <xf numFmtId="181" fontId="0" fillId="0" borderId="0" xfId="0" applyNumberFormat="1"/>
    <xf numFmtId="181" fontId="0" fillId="0" borderId="0" xfId="0" applyNumberFormat="1" applyAlignment="1">
      <alignment horizontal="center"/>
    </xf>
    <xf numFmtId="0" fontId="134" fillId="0" borderId="0" xfId="0" applyFont="1"/>
    <xf numFmtId="179" fontId="0" fillId="0" borderId="0" xfId="0" applyNumberFormat="1"/>
    <xf numFmtId="188" fontId="123" fillId="0" borderId="0" xfId="0" applyNumberFormat="1" applyFont="1" applyAlignment="1">
      <alignment horizontal="center"/>
    </xf>
    <xf numFmtId="181" fontId="106" fillId="50" borderId="0" xfId="0" applyNumberFormat="1" applyFont="1" applyFill="1" applyAlignment="1">
      <alignment horizontal="center"/>
    </xf>
    <xf numFmtId="188" fontId="110" fillId="50" borderId="0" xfId="0" applyNumberFormat="1" applyFont="1" applyFill="1" applyAlignment="1">
      <alignment horizontal="center"/>
    </xf>
    <xf numFmtId="181" fontId="106" fillId="40" borderId="0" xfId="0" applyNumberFormat="1" applyFont="1" applyFill="1" applyAlignment="1">
      <alignment horizontal="center"/>
    </xf>
    <xf numFmtId="188" fontId="110" fillId="40" borderId="0" xfId="0" applyNumberFormat="1" applyFont="1" applyFill="1" applyAlignment="1">
      <alignment horizontal="center"/>
    </xf>
    <xf numFmtId="181" fontId="106" fillId="66" borderId="0" xfId="0" applyNumberFormat="1" applyFont="1" applyFill="1" applyAlignment="1">
      <alignment horizontal="center"/>
    </xf>
    <xf numFmtId="188" fontId="110" fillId="66" borderId="0" xfId="0" applyNumberFormat="1" applyFont="1" applyFill="1" applyAlignment="1">
      <alignment horizontal="center"/>
    </xf>
    <xf numFmtId="181" fontId="133" fillId="56" borderId="0" xfId="0" applyNumberFormat="1" applyFont="1" applyFill="1" applyAlignment="1">
      <alignment horizontal="center"/>
    </xf>
    <xf numFmtId="188" fontId="135" fillId="56" borderId="0" xfId="0" applyNumberFormat="1" applyFont="1" applyFill="1" applyAlignment="1">
      <alignment horizontal="center"/>
    </xf>
    <xf numFmtId="181" fontId="133" fillId="67" borderId="0" xfId="0" applyNumberFormat="1" applyFont="1" applyFill="1" applyAlignment="1">
      <alignment horizontal="center"/>
    </xf>
    <xf numFmtId="188" fontId="135" fillId="67" borderId="0" xfId="0" applyNumberFormat="1" applyFont="1" applyFill="1" applyAlignment="1">
      <alignment horizontal="center"/>
    </xf>
    <xf numFmtId="188" fontId="109" fillId="56" borderId="0" xfId="0" applyNumberFormat="1" applyFont="1" applyFill="1"/>
    <xf numFmtId="188" fontId="109" fillId="46" borderId="0" xfId="0" applyNumberFormat="1" applyFont="1" applyFill="1"/>
    <xf numFmtId="169" fontId="109" fillId="44" borderId="0" xfId="0" applyNumberFormat="1" applyFont="1" applyFill="1"/>
    <xf numFmtId="0" fontId="102" fillId="46" borderId="0" xfId="0" applyFont="1" applyFill="1" applyAlignment="1">
      <alignment horizontal="center" wrapText="1"/>
    </xf>
    <xf numFmtId="0" fontId="109" fillId="56" borderId="0" xfId="0" applyFont="1" applyFill="1" applyAlignment="1">
      <alignment wrapText="1"/>
    </xf>
    <xf numFmtId="0" fontId="109" fillId="46" borderId="0" xfId="0" applyFont="1" applyFill="1" applyAlignment="1">
      <alignment wrapText="1"/>
    </xf>
    <xf numFmtId="0" fontId="109" fillId="58" borderId="0" xfId="0" applyFont="1" applyFill="1" applyAlignment="1">
      <alignment wrapText="1"/>
    </xf>
    <xf numFmtId="0" fontId="109" fillId="44" borderId="0" xfId="0" applyFont="1" applyFill="1" applyAlignment="1">
      <alignment wrapText="1"/>
    </xf>
    <xf numFmtId="0" fontId="110" fillId="50" borderId="0" xfId="0" applyFont="1" applyFill="1" applyAlignment="1">
      <alignment wrapText="1"/>
    </xf>
    <xf numFmtId="0" fontId="110" fillId="40" borderId="0" xfId="0" applyFont="1" applyFill="1" applyAlignment="1">
      <alignment wrapText="1"/>
    </xf>
    <xf numFmtId="0" fontId="110" fillId="66" borderId="0" xfId="0" applyFont="1" applyFill="1" applyAlignment="1">
      <alignment wrapText="1"/>
    </xf>
    <xf numFmtId="0" fontId="135" fillId="56" borderId="0" xfId="0" applyFont="1" applyFill="1" applyAlignment="1">
      <alignment wrapText="1"/>
    </xf>
    <xf numFmtId="0" fontId="134" fillId="0" borderId="0" xfId="0" applyFont="1" applyAlignment="1">
      <alignment wrapText="1"/>
    </xf>
    <xf numFmtId="0" fontId="135" fillId="67" borderId="0" xfId="0" applyFont="1" applyFill="1" applyAlignment="1">
      <alignment wrapText="1"/>
    </xf>
    <xf numFmtId="0" fontId="106" fillId="66" borderId="0" xfId="0" applyFont="1" applyFill="1" applyAlignment="1">
      <alignment horizontal="center" wrapText="1"/>
    </xf>
    <xf numFmtId="0" fontId="133" fillId="56" borderId="0" xfId="0" applyFont="1" applyFill="1" applyAlignment="1">
      <alignment horizontal="center" wrapText="1"/>
    </xf>
    <xf numFmtId="0" fontId="0" fillId="0" borderId="0" xfId="0" applyAlignment="1">
      <alignment horizontal="center" wrapText="1"/>
    </xf>
    <xf numFmtId="0" fontId="133" fillId="67" borderId="0" xfId="0" applyFont="1" applyFill="1" applyAlignment="1">
      <alignment horizontal="center" wrapText="1"/>
    </xf>
    <xf numFmtId="179" fontId="106" fillId="50" borderId="0" xfId="0" applyNumberFormat="1" applyFont="1" applyFill="1" applyAlignment="1">
      <alignment wrapText="1"/>
    </xf>
    <xf numFmtId="179" fontId="106" fillId="40" borderId="0" xfId="0" applyNumberFormat="1" applyFont="1" applyFill="1" applyAlignment="1">
      <alignment wrapText="1"/>
    </xf>
    <xf numFmtId="179" fontId="106" fillId="66" borderId="0" xfId="0" applyNumberFormat="1" applyFont="1" applyFill="1" applyAlignment="1">
      <alignment wrapText="1"/>
    </xf>
    <xf numFmtId="179" fontId="133" fillId="56" borderId="0" xfId="0" applyNumberFormat="1" applyFont="1" applyFill="1" applyAlignment="1">
      <alignment wrapText="1"/>
    </xf>
    <xf numFmtId="179" fontId="0" fillId="0" borderId="0" xfId="0" applyNumberFormat="1" applyAlignment="1">
      <alignment wrapText="1"/>
    </xf>
    <xf numFmtId="179" fontId="133" fillId="67" borderId="0" xfId="0" applyNumberFormat="1" applyFont="1" applyFill="1" applyAlignment="1">
      <alignment wrapText="1"/>
    </xf>
    <xf numFmtId="179" fontId="109" fillId="56" borderId="0" xfId="0" applyNumberFormat="1" applyFont="1" applyFill="1" applyAlignment="1">
      <alignment wrapText="1"/>
    </xf>
    <xf numFmtId="179" fontId="109" fillId="46" borderId="0" xfId="0" applyNumberFormat="1" applyFont="1" applyFill="1" applyAlignment="1">
      <alignment wrapText="1"/>
    </xf>
    <xf numFmtId="0" fontId="58" fillId="0" borderId="0" xfId="0" applyFont="1" applyAlignment="1">
      <alignment wrapText="1"/>
    </xf>
    <xf numFmtId="194" fontId="109" fillId="21" borderId="0" xfId="0" applyNumberFormat="1" applyFont="1" applyFill="1" applyAlignment="1">
      <alignment horizontal="center" vertical="center"/>
    </xf>
    <xf numFmtId="0" fontId="3" fillId="0" borderId="0" xfId="0" applyFont="1" applyAlignment="1">
      <alignment horizontal="center" vertical="center" wrapText="1"/>
    </xf>
    <xf numFmtId="0" fontId="137" fillId="50" borderId="0" xfId="0" applyFont="1" applyFill="1"/>
    <xf numFmtId="0" fontId="137" fillId="50" borderId="0" xfId="0" applyFont="1" applyFill="1" applyAlignment="1">
      <alignment horizontal="center"/>
    </xf>
    <xf numFmtId="0" fontId="139" fillId="0" borderId="0" xfId="0" applyFont="1"/>
    <xf numFmtId="0" fontId="139" fillId="0" borderId="0" xfId="0" applyFont="1" applyAlignment="1">
      <alignment wrapText="1"/>
    </xf>
    <xf numFmtId="181" fontId="139" fillId="0" borderId="0" xfId="0" applyNumberFormat="1" applyFont="1" applyAlignment="1">
      <alignment horizontal="center"/>
    </xf>
    <xf numFmtId="179" fontId="139" fillId="0" borderId="0" xfId="0" applyNumberFormat="1" applyFont="1" applyAlignment="1">
      <alignment wrapText="1"/>
    </xf>
    <xf numFmtId="188" fontId="139" fillId="0" borderId="0" xfId="0" applyNumberFormat="1" applyFont="1" applyAlignment="1">
      <alignment horizontal="center"/>
    </xf>
    <xf numFmtId="195" fontId="139" fillId="0" borderId="0" xfId="0" applyNumberFormat="1" applyFont="1" applyAlignment="1">
      <alignment wrapText="1"/>
    </xf>
    <xf numFmtId="195" fontId="0" fillId="0" borderId="0" xfId="0" applyNumberFormat="1"/>
    <xf numFmtId="0" fontId="3" fillId="46" borderId="0" xfId="0" applyFont="1" applyFill="1"/>
    <xf numFmtId="179" fontId="3" fillId="46" borderId="0" xfId="0" applyNumberFormat="1" applyFont="1" applyFill="1"/>
    <xf numFmtId="195" fontId="3" fillId="46" borderId="0" xfId="0" applyNumberFormat="1" applyFont="1" applyFill="1"/>
    <xf numFmtId="0" fontId="140" fillId="0" borderId="0" xfId="0" applyFont="1" applyAlignment="1">
      <alignment wrapText="1" indent="3"/>
    </xf>
    <xf numFmtId="0" fontId="5" fillId="0" borderId="0" xfId="0" applyFont="1" applyAlignment="1">
      <alignment horizontal="center"/>
    </xf>
    <xf numFmtId="4" fontId="5" fillId="0" borderId="0" xfId="0" applyNumberFormat="1" applyFont="1"/>
    <xf numFmtId="197" fontId="5" fillId="0" borderId="0" xfId="0" applyNumberFormat="1" applyFont="1"/>
    <xf numFmtId="0" fontId="120" fillId="0" borderId="0" xfId="0" applyFont="1"/>
    <xf numFmtId="9" fontId="120" fillId="0" borderId="0" xfId="0" applyNumberFormat="1" applyFont="1"/>
    <xf numFmtId="185" fontId="3" fillId="46" borderId="0" xfId="0" applyNumberFormat="1" applyFont="1" applyFill="1"/>
    <xf numFmtId="0" fontId="138" fillId="0" borderId="0" xfId="0" applyFont="1"/>
    <xf numFmtId="196" fontId="138" fillId="0" borderId="0" xfId="0" applyNumberFormat="1" applyFont="1"/>
    <xf numFmtId="198" fontId="138" fillId="0" borderId="0" xfId="0" applyNumberFormat="1" applyFont="1"/>
    <xf numFmtId="0" fontId="58" fillId="46" borderId="0" xfId="0" applyFont="1" applyFill="1"/>
    <xf numFmtId="185" fontId="58" fillId="46" borderId="0" xfId="0" applyNumberFormat="1" applyFont="1" applyFill="1"/>
    <xf numFmtId="195" fontId="138" fillId="0" borderId="0" xfId="0" applyNumberFormat="1" applyFont="1"/>
    <xf numFmtId="179" fontId="138" fillId="0" borderId="0" xfId="0" applyNumberFormat="1" applyFont="1"/>
    <xf numFmtId="0" fontId="3" fillId="56" borderId="0" xfId="0" applyFont="1" applyFill="1"/>
    <xf numFmtId="185" fontId="3" fillId="56" borderId="0" xfId="0" applyNumberFormat="1" applyFont="1" applyFill="1"/>
    <xf numFmtId="0" fontId="142" fillId="0" borderId="0" xfId="0" applyFont="1" applyAlignment="1">
      <alignment horizontal="left" wrapText="1"/>
    </xf>
    <xf numFmtId="185" fontId="141" fillId="0" borderId="0" xfId="0" applyNumberFormat="1" applyFont="1"/>
    <xf numFmtId="185" fontId="142" fillId="0" borderId="0" xfId="0" applyNumberFormat="1" applyFont="1"/>
    <xf numFmtId="0" fontId="58" fillId="44" borderId="0" xfId="0" applyFont="1" applyFill="1"/>
    <xf numFmtId="198" fontId="58" fillId="44" borderId="0" xfId="0" applyNumberFormat="1" applyFont="1" applyFill="1"/>
    <xf numFmtId="0" fontId="1" fillId="23" borderId="0" xfId="37" applyFill="1"/>
    <xf numFmtId="0" fontId="1" fillId="0" borderId="0" xfId="37"/>
    <xf numFmtId="0" fontId="144" fillId="0" borderId="108" xfId="37" applyFont="1" applyBorder="1"/>
    <xf numFmtId="0" fontId="144" fillId="0" borderId="108" xfId="37" applyFont="1" applyBorder="1" applyAlignment="1">
      <alignment horizontal="center" vertical="center"/>
    </xf>
    <xf numFmtId="199" fontId="1" fillId="0" borderId="0" xfId="37" applyNumberFormat="1"/>
    <xf numFmtId="0" fontId="1" fillId="23" borderId="39" xfId="37" applyFill="1" applyBorder="1" applyAlignment="1">
      <alignment horizontal="center"/>
    </xf>
    <xf numFmtId="0" fontId="145" fillId="23" borderId="40" xfId="37" applyFont="1" applyFill="1" applyBorder="1" applyAlignment="1">
      <alignment horizontal="center"/>
    </xf>
    <xf numFmtId="0" fontId="144" fillId="0" borderId="111" xfId="37" applyFont="1" applyBorder="1"/>
    <xf numFmtId="0" fontId="144" fillId="0" borderId="111" xfId="37" applyFont="1" applyBorder="1" applyAlignment="1">
      <alignment horizontal="center" vertical="center"/>
    </xf>
    <xf numFmtId="0" fontId="146" fillId="23" borderId="39" xfId="37" applyFont="1" applyFill="1" applyBorder="1" applyAlignment="1">
      <alignment horizontal="right"/>
    </xf>
    <xf numFmtId="0" fontId="146" fillId="23" borderId="0" xfId="37" applyFont="1" applyFill="1" applyAlignment="1">
      <alignment horizontal="right"/>
    </xf>
    <xf numFmtId="0" fontId="66" fillId="23" borderId="0" xfId="37" applyFont="1" applyFill="1" applyAlignment="1">
      <alignment horizontal="left"/>
    </xf>
    <xf numFmtId="0" fontId="147" fillId="23" borderId="0" xfId="37" applyFont="1" applyFill="1" applyAlignment="1">
      <alignment vertical="top" wrapText="1"/>
    </xf>
    <xf numFmtId="0" fontId="1" fillId="23" borderId="40" xfId="37" applyFill="1" applyBorder="1"/>
    <xf numFmtId="0" fontId="148" fillId="0" borderId="112" xfId="37" applyFont="1" applyBorder="1" applyAlignment="1">
      <alignment horizontal="center" vertical="center"/>
    </xf>
    <xf numFmtId="200" fontId="148" fillId="23" borderId="112" xfId="37" applyNumberFormat="1" applyFont="1" applyFill="1" applyBorder="1" applyAlignment="1">
      <alignment horizontal="center" vertical="center"/>
    </xf>
    <xf numFmtId="0" fontId="66" fillId="23" borderId="0" xfId="37" applyFont="1" applyFill="1"/>
    <xf numFmtId="0" fontId="149" fillId="23" borderId="112" xfId="37" applyFont="1" applyFill="1" applyBorder="1" applyAlignment="1">
      <alignment horizontal="center" vertical="center"/>
    </xf>
    <xf numFmtId="0" fontId="1" fillId="23" borderId="39" xfId="37" applyFill="1" applyBorder="1" applyAlignment="1">
      <alignment horizontal="right"/>
    </xf>
    <xf numFmtId="0" fontId="1" fillId="23" borderId="0" xfId="37" applyFill="1" applyAlignment="1">
      <alignment horizontal="right"/>
    </xf>
    <xf numFmtId="0" fontId="1" fillId="23" borderId="0" xfId="37" applyFill="1" applyAlignment="1">
      <alignment horizontal="left"/>
    </xf>
    <xf numFmtId="0" fontId="66" fillId="23" borderId="0" xfId="37" applyFont="1" applyFill="1" applyAlignment="1">
      <alignment horizontal="right"/>
    </xf>
    <xf numFmtId="14" fontId="66" fillId="23" borderId="0" xfId="37" applyNumberFormat="1" applyFont="1" applyFill="1" applyAlignment="1">
      <alignment horizontal="left"/>
    </xf>
    <xf numFmtId="0" fontId="66" fillId="23" borderId="0" xfId="37" applyFont="1" applyFill="1" applyAlignment="1">
      <alignment horizontal="center"/>
    </xf>
    <xf numFmtId="0" fontId="66" fillId="23" borderId="39" xfId="37" applyFont="1" applyFill="1" applyBorder="1"/>
    <xf numFmtId="15" fontId="150" fillId="0" borderId="17" xfId="38" applyNumberFormat="1" applyFont="1" applyBorder="1" applyAlignment="1">
      <alignment horizontal="center" vertical="center"/>
    </xf>
    <xf numFmtId="0" fontId="150" fillId="0" borderId="17" xfId="38" applyFont="1" applyBorder="1" applyAlignment="1">
      <alignment horizontal="center" vertical="center"/>
    </xf>
    <xf numFmtId="199" fontId="148" fillId="23" borderId="112" xfId="37" applyNumberFormat="1" applyFont="1" applyFill="1" applyBorder="1" applyAlignment="1">
      <alignment horizontal="center" vertical="center"/>
    </xf>
    <xf numFmtId="0" fontId="1" fillId="23" borderId="39" xfId="37" applyFill="1" applyBorder="1"/>
    <xf numFmtId="0" fontId="151" fillId="0" borderId="17" xfId="38" applyFont="1" applyBorder="1" applyAlignment="1">
      <alignment horizontal="center" vertical="center"/>
    </xf>
    <xf numFmtId="0" fontId="151" fillId="0" borderId="17" xfId="38" applyFont="1" applyBorder="1" applyAlignment="1">
      <alignment horizontal="center" vertical="center" wrapText="1"/>
    </xf>
    <xf numFmtId="0" fontId="1" fillId="23" borderId="41" xfId="37" applyFill="1" applyBorder="1"/>
    <xf numFmtId="0" fontId="1" fillId="23" borderId="42" xfId="37" applyFill="1" applyBorder="1"/>
    <xf numFmtId="0" fontId="1" fillId="23" borderId="43" xfId="37" applyFill="1" applyBorder="1"/>
    <xf numFmtId="0" fontId="153" fillId="8" borderId="0" xfId="39" applyFont="1" applyFill="1" applyAlignment="1">
      <alignment vertical="center"/>
    </xf>
    <xf numFmtId="0" fontId="154" fillId="8" borderId="0" xfId="39" applyFont="1" applyFill="1" applyAlignment="1">
      <alignment horizontal="left" vertical="center"/>
    </xf>
    <xf numFmtId="0" fontId="154" fillId="8" borderId="0" xfId="39" applyFont="1" applyFill="1" applyAlignment="1">
      <alignment vertical="center"/>
    </xf>
    <xf numFmtId="0" fontId="150" fillId="23" borderId="0" xfId="40" applyFill="1"/>
    <xf numFmtId="0" fontId="4" fillId="23" borderId="0" xfId="41" applyFill="1"/>
    <xf numFmtId="192" fontId="7" fillId="23" borderId="0" xfId="42" applyNumberFormat="1" applyFont="1" applyFill="1" applyAlignment="1">
      <alignment horizontal="right" vertical="center"/>
    </xf>
    <xf numFmtId="0" fontId="3" fillId="23" borderId="0" xfId="41" applyFont="1" applyFill="1"/>
    <xf numFmtId="0" fontId="155" fillId="23" borderId="0" xfId="41" applyFont="1" applyFill="1" applyAlignment="1">
      <alignment vertical="center"/>
    </xf>
    <xf numFmtId="10" fontId="4" fillId="23" borderId="0" xfId="41" applyNumberFormat="1" applyFill="1"/>
    <xf numFmtId="169" fontId="4" fillId="23" borderId="0" xfId="41" applyNumberFormat="1" applyFill="1" applyAlignment="1">
      <alignment horizontal="center"/>
    </xf>
    <xf numFmtId="10" fontId="1" fillId="23" borderId="0" xfId="37" applyNumberFormat="1" applyFill="1"/>
    <xf numFmtId="10" fontId="159" fillId="23" borderId="0" xfId="41" applyNumberFormat="1" applyFont="1" applyFill="1" applyAlignment="1">
      <alignment horizontal="center" vertical="center"/>
    </xf>
    <xf numFmtId="1" fontId="4" fillId="23" borderId="0" xfId="41" applyNumberFormat="1" applyFill="1" applyAlignment="1">
      <alignment horizontal="center"/>
    </xf>
    <xf numFmtId="2" fontId="4" fillId="23" borderId="0" xfId="41" applyNumberFormat="1" applyFill="1"/>
    <xf numFmtId="0" fontId="157" fillId="33" borderId="36" xfId="41" applyFont="1" applyFill="1" applyBorder="1"/>
    <xf numFmtId="0" fontId="4" fillId="33" borderId="37" xfId="41" applyFill="1" applyBorder="1"/>
    <xf numFmtId="0" fontId="4" fillId="6" borderId="37" xfId="41" applyFill="1" applyBorder="1"/>
    <xf numFmtId="0" fontId="4" fillId="6" borderId="38" xfId="41" applyFill="1" applyBorder="1"/>
    <xf numFmtId="0" fontId="160" fillId="6" borderId="39" xfId="41" applyFont="1" applyFill="1" applyBorder="1"/>
    <xf numFmtId="0" fontId="160" fillId="6" borderId="0" xfId="41" applyFont="1" applyFill="1"/>
    <xf numFmtId="0" fontId="4" fillId="6" borderId="0" xfId="41" applyFill="1"/>
    <xf numFmtId="0" fontId="160" fillId="6" borderId="0" xfId="41" applyFont="1" applyFill="1" applyAlignment="1">
      <alignment horizontal="center"/>
    </xf>
    <xf numFmtId="0" fontId="160" fillId="6" borderId="0" xfId="41" applyFont="1" applyFill="1" applyAlignment="1">
      <alignment horizontal="left"/>
    </xf>
    <xf numFmtId="0" fontId="160" fillId="6" borderId="40" xfId="41" applyFont="1" applyFill="1" applyBorder="1" applyAlignment="1">
      <alignment horizontal="center"/>
    </xf>
    <xf numFmtId="0" fontId="160" fillId="6" borderId="57" xfId="41" applyFont="1" applyFill="1" applyBorder="1"/>
    <xf numFmtId="0" fontId="160" fillId="6" borderId="13" xfId="41" applyFont="1" applyFill="1" applyBorder="1"/>
    <xf numFmtId="0" fontId="4" fillId="6" borderId="13" xfId="41" applyFill="1" applyBorder="1"/>
    <xf numFmtId="0" fontId="160" fillId="6" borderId="13" xfId="41" applyFont="1" applyFill="1" applyBorder="1" applyAlignment="1">
      <alignment horizontal="center"/>
    </xf>
    <xf numFmtId="0" fontId="160" fillId="6" borderId="13" xfId="41" applyFont="1" applyFill="1" applyBorder="1" applyAlignment="1">
      <alignment horizontal="left"/>
    </xf>
    <xf numFmtId="0" fontId="160" fillId="6" borderId="58" xfId="41" applyFont="1" applyFill="1" applyBorder="1" applyAlignment="1">
      <alignment horizontal="center"/>
    </xf>
    <xf numFmtId="0" fontId="157" fillId="33" borderId="61" xfId="41" applyFont="1" applyFill="1" applyBorder="1"/>
    <xf numFmtId="0" fontId="4" fillId="33" borderId="11" xfId="41" applyFill="1" applyBorder="1"/>
    <xf numFmtId="0" fontId="4" fillId="6" borderId="11" xfId="41" applyFill="1" applyBorder="1"/>
    <xf numFmtId="0" fontId="4" fillId="6" borderId="62" xfId="41" applyFill="1" applyBorder="1"/>
    <xf numFmtId="169" fontId="160" fillId="6" borderId="40" xfId="43" applyNumberFormat="1" applyFont="1" applyFill="1" applyBorder="1" applyAlignment="1">
      <alignment horizontal="center"/>
    </xf>
    <xf numFmtId="0" fontId="160" fillId="6" borderId="41" xfId="41" applyFont="1" applyFill="1" applyBorder="1"/>
    <xf numFmtId="0" fontId="4" fillId="6" borderId="42" xfId="41" applyFill="1" applyBorder="1"/>
    <xf numFmtId="0" fontId="160" fillId="6" borderId="42" xfId="41" applyFont="1" applyFill="1" applyBorder="1" applyAlignment="1">
      <alignment horizontal="center"/>
    </xf>
    <xf numFmtId="0" fontId="160" fillId="6" borderId="42" xfId="41" applyFont="1" applyFill="1" applyBorder="1"/>
    <xf numFmtId="0" fontId="4" fillId="6" borderId="43" xfId="41" applyFill="1" applyBorder="1"/>
    <xf numFmtId="0" fontId="157" fillId="0" borderId="72" xfId="41" applyFont="1" applyBorder="1" applyAlignment="1">
      <alignment horizontal="left" vertical="center" indent="1"/>
    </xf>
    <xf numFmtId="0" fontId="3" fillId="0" borderId="17" xfId="41" applyFont="1" applyBorder="1"/>
    <xf numFmtId="0" fontId="4" fillId="0" borderId="73" xfId="41" applyBorder="1"/>
    <xf numFmtId="0" fontId="158" fillId="23" borderId="0" xfId="41" applyFont="1" applyFill="1" applyAlignment="1">
      <alignment horizontal="center" vertical="center" wrapText="1"/>
    </xf>
    <xf numFmtId="169" fontId="158" fillId="23" borderId="0" xfId="41" applyNumberFormat="1" applyFont="1" applyFill="1" applyAlignment="1">
      <alignment horizontal="center" vertical="center"/>
    </xf>
    <xf numFmtId="10" fontId="158" fillId="23" borderId="0" xfId="41" applyNumberFormat="1" applyFont="1" applyFill="1" applyAlignment="1">
      <alignment horizontal="center" vertical="center"/>
    </xf>
    <xf numFmtId="10" fontId="159" fillId="23" borderId="0" xfId="43" applyNumberFormat="1" applyFont="1" applyFill="1" applyBorder="1" applyAlignment="1">
      <alignment horizontal="center" vertical="center"/>
    </xf>
    <xf numFmtId="0" fontId="162" fillId="23" borderId="0" xfId="40" applyFont="1" applyFill="1"/>
    <xf numFmtId="0" fontId="155" fillId="16" borderId="0" xfId="41" applyFont="1" applyFill="1" applyAlignment="1">
      <alignment vertical="center"/>
    </xf>
    <xf numFmtId="0" fontId="3" fillId="16" borderId="0" xfId="41" applyFont="1" applyFill="1"/>
    <xf numFmtId="0" fontId="4" fillId="16" borderId="0" xfId="41" applyFill="1"/>
    <xf numFmtId="0" fontId="164" fillId="23" borderId="0" xfId="41" applyFont="1" applyFill="1" applyAlignment="1">
      <alignment vertical="center"/>
    </xf>
    <xf numFmtId="3" fontId="4" fillId="23" borderId="0" xfId="41" applyNumberFormat="1" applyFill="1"/>
    <xf numFmtId="1" fontId="4" fillId="23" borderId="0" xfId="41" applyNumberFormat="1" applyFill="1" applyAlignment="1">
      <alignment horizontal="right"/>
    </xf>
    <xf numFmtId="2" fontId="4" fillId="23" borderId="0" xfId="41" applyNumberFormat="1" applyFill="1" applyAlignment="1">
      <alignment horizontal="right"/>
    </xf>
    <xf numFmtId="0" fontId="154" fillId="23" borderId="0" xfId="41" applyFont="1" applyFill="1"/>
    <xf numFmtId="0" fontId="130" fillId="23" borderId="0" xfId="44" applyFont="1" applyFill="1"/>
    <xf numFmtId="0" fontId="1" fillId="23" borderId="0" xfId="44" applyFill="1"/>
    <xf numFmtId="0" fontId="154" fillId="23" borderId="0" xfId="44" applyFont="1" applyFill="1"/>
    <xf numFmtId="1" fontId="154" fillId="23" borderId="0" xfId="44" applyNumberFormat="1" applyFont="1" applyFill="1" applyAlignment="1">
      <alignment horizontal="center" vertical="center"/>
    </xf>
    <xf numFmtId="10" fontId="154" fillId="23" borderId="0" xfId="44" applyNumberFormat="1" applyFont="1" applyFill="1" applyAlignment="1">
      <alignment horizontal="center" vertical="center"/>
    </xf>
    <xf numFmtId="1" fontId="154" fillId="23" borderId="0" xfId="44" applyNumberFormat="1" applyFont="1" applyFill="1" applyAlignment="1">
      <alignment horizontal="center"/>
    </xf>
    <xf numFmtId="0" fontId="154" fillId="23" borderId="0" xfId="44" applyFont="1" applyFill="1" applyAlignment="1">
      <alignment horizontal="center"/>
    </xf>
    <xf numFmtId="0" fontId="154" fillId="23" borderId="0" xfId="44" applyFont="1" applyFill="1" applyAlignment="1">
      <alignment horizontal="center" vertical="center"/>
    </xf>
    <xf numFmtId="0" fontId="166" fillId="23" borderId="0" xfId="44" applyFont="1" applyFill="1"/>
    <xf numFmtId="0" fontId="167" fillId="23" borderId="0" xfId="41" applyFont="1" applyFill="1"/>
    <xf numFmtId="0" fontId="51" fillId="23" borderId="0" xfId="44" applyFont="1" applyFill="1"/>
    <xf numFmtId="1" fontId="51" fillId="23" borderId="0" xfId="44" applyNumberFormat="1" applyFont="1" applyFill="1" applyAlignment="1">
      <alignment horizontal="center" vertical="center"/>
    </xf>
    <xf numFmtId="10" fontId="51" fillId="23" borderId="0" xfId="44" applyNumberFormat="1" applyFont="1" applyFill="1" applyAlignment="1">
      <alignment horizontal="center" vertical="center"/>
    </xf>
    <xf numFmtId="0" fontId="51" fillId="23" borderId="0" xfId="44" applyFont="1" applyFill="1" applyAlignment="1">
      <alignment horizontal="center"/>
    </xf>
    <xf numFmtId="1" fontId="51" fillId="23" borderId="0" xfId="44" applyNumberFormat="1" applyFont="1" applyFill="1" applyAlignment="1">
      <alignment horizontal="center"/>
    </xf>
    <xf numFmtId="0" fontId="169" fillId="23" borderId="0" xfId="44" applyFont="1" applyFill="1"/>
    <xf numFmtId="0" fontId="155" fillId="0" borderId="0" xfId="41" applyFont="1" applyAlignment="1">
      <alignment vertical="center"/>
    </xf>
    <xf numFmtId="201" fontId="70" fillId="23" borderId="0" xfId="41" applyNumberFormat="1" applyFont="1" applyFill="1" applyAlignment="1">
      <alignment vertical="center"/>
    </xf>
    <xf numFmtId="0" fontId="170" fillId="23" borderId="0" xfId="37" applyFont="1" applyFill="1" applyAlignment="1">
      <alignment vertical="top" wrapText="1"/>
    </xf>
    <xf numFmtId="201" fontId="70" fillId="23" borderId="0" xfId="41" applyNumberFormat="1" applyFont="1" applyFill="1" applyAlignment="1">
      <alignment vertical="center" wrapText="1"/>
    </xf>
    <xf numFmtId="0" fontId="4" fillId="6" borderId="0" xfId="41" applyFill="1" applyAlignment="1">
      <alignment horizontal="left" vertical="center"/>
    </xf>
    <xf numFmtId="0" fontId="70" fillId="23" borderId="0" xfId="41" applyFont="1" applyFill="1"/>
    <xf numFmtId="202" fontId="3" fillId="9" borderId="17" xfId="37" applyNumberFormat="1" applyFont="1" applyFill="1" applyBorder="1" applyAlignment="1">
      <alignment horizontal="center" vertical="center"/>
    </xf>
    <xf numFmtId="0" fontId="169" fillId="0" borderId="0" xfId="44" applyFont="1"/>
    <xf numFmtId="1" fontId="154" fillId="0" borderId="0" xfId="44" applyNumberFormat="1" applyFont="1" applyAlignment="1">
      <alignment horizontal="center" vertical="center"/>
    </xf>
    <xf numFmtId="10" fontId="154" fillId="0" borderId="0" xfId="44" applyNumberFormat="1" applyFont="1" applyAlignment="1">
      <alignment horizontal="center" vertical="center"/>
    </xf>
    <xf numFmtId="0" fontId="154" fillId="0" borderId="0" xfId="44" applyFont="1"/>
    <xf numFmtId="0" fontId="4" fillId="0" borderId="0" xfId="41"/>
    <xf numFmtId="0" fontId="157" fillId="0" borderId="0" xfId="44" applyFont="1"/>
    <xf numFmtId="0" fontId="51" fillId="0" borderId="17" xfId="44" applyFont="1" applyBorder="1" applyAlignment="1">
      <alignment horizontal="center" vertical="center"/>
    </xf>
    <xf numFmtId="1" fontId="51" fillId="0" borderId="17" xfId="44" applyNumberFormat="1" applyFont="1" applyBorder="1" applyAlignment="1">
      <alignment horizontal="center" vertical="center"/>
    </xf>
    <xf numFmtId="10" fontId="51" fillId="0" borderId="17" xfId="44" applyNumberFormat="1" applyFont="1" applyBorder="1" applyAlignment="1">
      <alignment horizontal="center" vertical="center"/>
    </xf>
    <xf numFmtId="1" fontId="154" fillId="68" borderId="17" xfId="44" applyNumberFormat="1" applyFont="1" applyFill="1" applyBorder="1" applyAlignment="1">
      <alignment horizontal="center" vertical="center"/>
    </xf>
    <xf numFmtId="10" fontId="154" fillId="68" borderId="17" xfId="44" applyNumberFormat="1" applyFont="1" applyFill="1" applyBorder="1" applyAlignment="1">
      <alignment horizontal="center" vertical="center"/>
    </xf>
    <xf numFmtId="0" fontId="1" fillId="0" borderId="0" xfId="37" applyAlignment="1">
      <alignment horizontal="left"/>
    </xf>
    <xf numFmtId="10" fontId="73" fillId="0" borderId="0" xfId="37" applyNumberFormat="1" applyFont="1" applyAlignment="1">
      <alignment horizontal="left"/>
    </xf>
    <xf numFmtId="4" fontId="171" fillId="0" borderId="0" xfId="37" applyNumberFormat="1" applyFont="1"/>
    <xf numFmtId="4" fontId="1" fillId="0" borderId="0" xfId="37" applyNumberFormat="1" applyAlignment="1">
      <alignment horizontal="center"/>
    </xf>
    <xf numFmtId="10" fontId="1" fillId="0" borderId="0" xfId="37" applyNumberFormat="1" applyAlignment="1">
      <alignment horizontal="center" vertical="center"/>
    </xf>
    <xf numFmtId="0" fontId="172" fillId="0" borderId="0" xfId="37" applyFont="1"/>
    <xf numFmtId="0" fontId="68" fillId="0" borderId="0" xfId="37" applyFont="1" applyAlignment="1">
      <alignment horizontal="left" vertical="center"/>
    </xf>
    <xf numFmtId="0" fontId="68" fillId="0" borderId="0" xfId="37" applyFont="1" applyAlignment="1">
      <alignment vertical="center" wrapText="1"/>
    </xf>
    <xf numFmtId="4" fontId="68" fillId="0" borderId="0" xfId="37" applyNumberFormat="1" applyFont="1" applyAlignment="1">
      <alignment horizontal="center" vertical="center" wrapText="1"/>
    </xf>
    <xf numFmtId="0" fontId="66" fillId="0" borderId="0" xfId="37" applyFont="1"/>
    <xf numFmtId="2" fontId="5" fillId="0" borderId="120" xfId="45" applyNumberFormat="1" applyFont="1" applyBorder="1" applyAlignment="1">
      <alignment horizontal="left" vertical="center" wrapText="1" shrinkToFit="1"/>
    </xf>
    <xf numFmtId="10" fontId="178" fillId="23" borderId="120" xfId="46" applyNumberFormat="1" applyFont="1" applyFill="1" applyBorder="1" applyAlignment="1">
      <alignment horizontal="center" wrapText="1"/>
    </xf>
    <xf numFmtId="0" fontId="73" fillId="0" borderId="0" xfId="37" applyFont="1" applyAlignment="1">
      <alignment horizontal="left"/>
    </xf>
    <xf numFmtId="2" fontId="1" fillId="0" borderId="0" xfId="37" applyNumberFormat="1" applyAlignment="1">
      <alignment horizontal="center" vertical="center"/>
    </xf>
    <xf numFmtId="0" fontId="68" fillId="0" borderId="0" xfId="37" applyFont="1" applyAlignment="1">
      <alignment horizontal="center" vertical="center"/>
    </xf>
    <xf numFmtId="2" fontId="68" fillId="0" borderId="0" xfId="37" applyNumberFormat="1" applyFont="1" applyAlignment="1">
      <alignment vertical="center" wrapText="1"/>
    </xf>
    <xf numFmtId="10" fontId="5" fillId="0" borderId="120" xfId="3" applyNumberFormat="1" applyFont="1" applyBorder="1" applyAlignment="1">
      <alignment horizontal="center" vertical="center" wrapText="1"/>
    </xf>
    <xf numFmtId="4" fontId="1" fillId="0" borderId="0" xfId="37" applyNumberFormat="1"/>
    <xf numFmtId="0" fontId="180" fillId="0" borderId="0" xfId="37" applyFont="1"/>
    <xf numFmtId="0" fontId="181" fillId="0" borderId="42" xfId="37" applyFont="1" applyBorder="1" applyAlignment="1">
      <alignment horizontal="left" vertical="center"/>
    </xf>
    <xf numFmtId="0" fontId="181" fillId="0" borderId="0" xfId="37" applyFont="1" applyAlignment="1">
      <alignment vertical="center"/>
    </xf>
    <xf numFmtId="178" fontId="181" fillId="0" borderId="0" xfId="37" applyNumberFormat="1" applyFont="1" applyAlignment="1">
      <alignment vertical="center"/>
    </xf>
    <xf numFmtId="199" fontId="74" fillId="0" borderId="0" xfId="37" applyNumberFormat="1" applyFont="1" applyAlignment="1">
      <alignment vertical="center"/>
    </xf>
    <xf numFmtId="2" fontId="5" fillId="0" borderId="124" xfId="3" applyNumberFormat="1" applyFont="1" applyBorder="1" applyAlignment="1">
      <alignment horizontal="left" vertical="center" wrapText="1" shrinkToFit="1"/>
    </xf>
    <xf numFmtId="0" fontId="145" fillId="23" borderId="0" xfId="37" applyFont="1" applyFill="1" applyAlignment="1">
      <alignment horizontal="right"/>
    </xf>
    <xf numFmtId="0" fontId="3" fillId="6" borderId="0" xfId="37" applyFont="1" applyFill="1" applyAlignment="1">
      <alignment horizontal="right" vertical="center"/>
    </xf>
    <xf numFmtId="0" fontId="4" fillId="6" borderId="0" xfId="37" applyFont="1" applyFill="1" applyAlignment="1">
      <alignment horizontal="left" vertical="center"/>
    </xf>
    <xf numFmtId="0" fontId="3" fillId="6" borderId="0" xfId="37" applyFont="1" applyFill="1" applyAlignment="1">
      <alignment horizontal="left" vertical="center"/>
    </xf>
    <xf numFmtId="0" fontId="145" fillId="6" borderId="0" xfId="37" applyFont="1" applyFill="1" applyAlignment="1">
      <alignment vertical="center"/>
    </xf>
    <xf numFmtId="0" fontId="145" fillId="23" borderId="0" xfId="37" applyFont="1" applyFill="1"/>
    <xf numFmtId="0" fontId="145" fillId="6" borderId="0" xfId="37" applyFont="1" applyFill="1" applyAlignment="1">
      <alignment horizontal="left" vertical="center"/>
    </xf>
    <xf numFmtId="0" fontId="72" fillId="6" borderId="0" xfId="37" applyFont="1" applyFill="1" applyAlignment="1">
      <alignment vertical="center"/>
    </xf>
    <xf numFmtId="14" fontId="4" fillId="6" borderId="0" xfId="37" applyNumberFormat="1" applyFont="1" applyFill="1" applyAlignment="1">
      <alignment horizontal="left" vertical="center"/>
    </xf>
    <xf numFmtId="0" fontId="4" fillId="6" borderId="0" xfId="37" applyFont="1" applyFill="1" applyAlignment="1">
      <alignment vertical="center"/>
    </xf>
    <xf numFmtId="0" fontId="88" fillId="23" borderId="0" xfId="37" applyFont="1" applyFill="1"/>
    <xf numFmtId="0" fontId="89" fillId="6" borderId="0" xfId="37" applyFont="1" applyFill="1" applyAlignment="1">
      <alignment vertical="center"/>
    </xf>
    <xf numFmtId="174" fontId="179" fillId="0" borderId="0" xfId="37" applyNumberFormat="1" applyFont="1" applyAlignment="1">
      <alignment horizontal="center"/>
    </xf>
    <xf numFmtId="10" fontId="5" fillId="0" borderId="120" xfId="47" applyNumberFormat="1" applyFont="1" applyFill="1" applyBorder="1" applyAlignment="1">
      <alignment horizontal="center" vertical="center" wrapText="1" shrinkToFit="1"/>
    </xf>
    <xf numFmtId="10" fontId="5" fillId="0" borderId="120" xfId="47" applyNumberFormat="1" applyFont="1" applyFill="1" applyBorder="1" applyAlignment="1">
      <alignment horizontal="center" vertical="center" wrapText="1"/>
    </xf>
    <xf numFmtId="10" fontId="5" fillId="0" borderId="128" xfId="47" applyNumberFormat="1" applyFont="1" applyFill="1" applyBorder="1" applyAlignment="1">
      <alignment horizontal="center" vertical="center" wrapText="1"/>
    </xf>
    <xf numFmtId="178" fontId="182" fillId="0" borderId="121" xfId="3" applyNumberFormat="1" applyFont="1" applyBorder="1" applyAlignment="1">
      <alignment horizontal="center" vertical="center" wrapText="1"/>
    </xf>
    <xf numFmtId="0" fontId="70" fillId="6" borderId="0" xfId="50" applyFont="1" applyFill="1" applyAlignment="1">
      <alignment horizontal="centerContinuous" vertical="center"/>
    </xf>
    <xf numFmtId="0" fontId="6" fillId="6" borderId="0" xfId="50" applyFont="1" applyFill="1" applyAlignment="1">
      <alignment vertical="center"/>
    </xf>
    <xf numFmtId="0" fontId="70" fillId="6" borderId="0" xfId="50" applyFont="1" applyFill="1" applyAlignment="1">
      <alignment horizontal="left" vertical="center"/>
    </xf>
    <xf numFmtId="2" fontId="70" fillId="6" borderId="0" xfId="50" applyNumberFormat="1" applyFont="1" applyFill="1" applyAlignment="1">
      <alignment horizontal="left" vertical="center"/>
    </xf>
    <xf numFmtId="0" fontId="70" fillId="6" borderId="0" xfId="42" applyFont="1" applyFill="1" applyAlignment="1">
      <alignment horizontal="left" vertical="center"/>
    </xf>
    <xf numFmtId="206" fontId="70" fillId="6" borderId="0" xfId="50" applyNumberFormat="1" applyFont="1" applyFill="1" applyAlignment="1">
      <alignment horizontal="left" vertical="center"/>
    </xf>
    <xf numFmtId="0" fontId="70" fillId="6" borderId="0" xfId="50" applyFont="1" applyFill="1" applyAlignment="1">
      <alignment horizontal="center" vertical="center"/>
    </xf>
    <xf numFmtId="204" fontId="70" fillId="6" borderId="130" xfId="37" applyNumberFormat="1" applyFont="1" applyFill="1" applyBorder="1" applyAlignment="1">
      <alignment horizontal="center" vertical="center"/>
    </xf>
    <xf numFmtId="15" fontId="70" fillId="6" borderId="130" xfId="37" applyNumberFormat="1" applyFont="1" applyFill="1" applyBorder="1" applyAlignment="1">
      <alignment horizontal="center" vertical="center"/>
    </xf>
    <xf numFmtId="15" fontId="70" fillId="6" borderId="138" xfId="37" applyNumberFormat="1" applyFont="1" applyFill="1" applyBorder="1" applyAlignment="1">
      <alignment horizontal="center" vertical="center"/>
    </xf>
    <xf numFmtId="171" fontId="70" fillId="16" borderId="116" xfId="49" applyFont="1" applyFill="1" applyBorder="1" applyAlignment="1">
      <alignment vertical="center"/>
    </xf>
    <xf numFmtId="0" fontId="70" fillId="16" borderId="117" xfId="42" applyFont="1" applyFill="1" applyBorder="1" applyAlignment="1">
      <alignment vertical="center"/>
    </xf>
    <xf numFmtId="0" fontId="70" fillId="16" borderId="130" xfId="42" applyFont="1" applyFill="1" applyBorder="1" applyAlignment="1">
      <alignment vertical="center"/>
    </xf>
    <xf numFmtId="207" fontId="183" fillId="0" borderId="129" xfId="50" applyNumberFormat="1" applyFont="1" applyBorder="1" applyAlignment="1">
      <alignment vertical="center"/>
    </xf>
    <xf numFmtId="207" fontId="183" fillId="6" borderId="130" xfId="50" applyNumberFormat="1" applyFont="1" applyFill="1" applyBorder="1" applyAlignment="1">
      <alignment horizontal="center" vertical="center"/>
    </xf>
    <xf numFmtId="3" fontId="183" fillId="6" borderId="130" xfId="50" applyNumberFormat="1" applyFont="1" applyFill="1" applyBorder="1" applyAlignment="1">
      <alignment horizontal="center" vertical="center"/>
    </xf>
    <xf numFmtId="0" fontId="184" fillId="23" borderId="0" xfId="37" applyFont="1" applyFill="1"/>
    <xf numFmtId="207" fontId="185" fillId="0" borderId="129" xfId="50" applyNumberFormat="1" applyFont="1" applyBorder="1" applyAlignment="1">
      <alignment vertical="center"/>
    </xf>
    <xf numFmtId="207" fontId="185" fillId="6" borderId="130" xfId="50" applyNumberFormat="1" applyFont="1" applyFill="1" applyBorder="1" applyAlignment="1">
      <alignment horizontal="center" vertical="center"/>
    </xf>
    <xf numFmtId="3" fontId="185" fillId="6" borderId="130" xfId="50" applyNumberFormat="1" applyFont="1" applyFill="1" applyBorder="1" applyAlignment="1">
      <alignment horizontal="center" vertical="center"/>
    </xf>
    <xf numFmtId="207" fontId="70" fillId="9" borderId="116" xfId="50" applyNumberFormat="1" applyFont="1" applyFill="1" applyBorder="1" applyAlignment="1">
      <alignment vertical="center"/>
    </xf>
    <xf numFmtId="207" fontId="70" fillId="9" borderId="117" xfId="50" applyNumberFormat="1" applyFont="1" applyFill="1" applyBorder="1" applyAlignment="1">
      <alignment horizontal="center" vertical="center"/>
    </xf>
    <xf numFmtId="3" fontId="70" fillId="9" borderId="117" xfId="50" applyNumberFormat="1" applyFont="1" applyFill="1" applyBorder="1" applyAlignment="1">
      <alignment horizontal="center" vertical="center"/>
    </xf>
    <xf numFmtId="207" fontId="6" fillId="6" borderId="131" xfId="50" applyNumberFormat="1" applyFont="1" applyFill="1" applyBorder="1" applyAlignment="1">
      <alignment vertical="center"/>
    </xf>
    <xf numFmtId="207" fontId="186" fillId="6" borderId="132" xfId="50" applyNumberFormat="1" applyFont="1" applyFill="1" applyBorder="1" applyAlignment="1">
      <alignment horizontal="center" vertical="center"/>
    </xf>
    <xf numFmtId="0" fontId="1" fillId="0" borderId="39" xfId="37" applyBorder="1"/>
    <xf numFmtId="207" fontId="70" fillId="16" borderId="116" xfId="50" applyNumberFormat="1" applyFont="1" applyFill="1" applyBorder="1" applyAlignment="1">
      <alignment vertical="center"/>
    </xf>
    <xf numFmtId="207" fontId="70" fillId="16" borderId="117" xfId="50" applyNumberFormat="1" applyFont="1" applyFill="1" applyBorder="1" applyAlignment="1">
      <alignment horizontal="center" vertical="center"/>
    </xf>
    <xf numFmtId="3" fontId="70" fillId="16" borderId="117" xfId="50" applyNumberFormat="1" applyFont="1" applyFill="1" applyBorder="1" applyAlignment="1">
      <alignment horizontal="center" vertical="center"/>
    </xf>
    <xf numFmtId="207" fontId="70" fillId="6" borderId="116" xfId="50" applyNumberFormat="1" applyFont="1" applyFill="1" applyBorder="1" applyAlignment="1">
      <alignment vertical="center"/>
    </xf>
    <xf numFmtId="207" fontId="70" fillId="6" borderId="117" xfId="50" applyNumberFormat="1" applyFont="1" applyFill="1" applyBorder="1" applyAlignment="1">
      <alignment horizontal="center" vertical="center"/>
    </xf>
    <xf numFmtId="3" fontId="70" fillId="6" borderId="117" xfId="50" applyNumberFormat="1" applyFont="1" applyFill="1" applyBorder="1" applyAlignment="1">
      <alignment horizontal="center" vertical="center"/>
    </xf>
    <xf numFmtId="204" fontId="70" fillId="6" borderId="130" xfId="51" applyNumberFormat="1" applyFont="1" applyFill="1" applyBorder="1" applyAlignment="1">
      <alignment horizontal="center" vertical="center"/>
    </xf>
    <xf numFmtId="15" fontId="70" fillId="6" borderId="130" xfId="51" applyNumberFormat="1" applyFont="1" applyFill="1" applyBorder="1" applyAlignment="1">
      <alignment horizontal="center" vertical="center"/>
    </xf>
    <xf numFmtId="15" fontId="70" fillId="6" borderId="138" xfId="51" applyNumberFormat="1" applyFont="1" applyFill="1" applyBorder="1" applyAlignment="1">
      <alignment horizontal="center" vertical="center"/>
    </xf>
    <xf numFmtId="171" fontId="70" fillId="16" borderId="130" xfId="49" applyFont="1" applyFill="1" applyBorder="1" applyAlignment="1">
      <alignment vertical="center"/>
    </xf>
    <xf numFmtId="207" fontId="183" fillId="6" borderId="130" xfId="50" applyNumberFormat="1" applyFont="1" applyFill="1" applyBorder="1" applyAlignment="1">
      <alignment vertical="center"/>
    </xf>
    <xf numFmtId="0" fontId="187" fillId="23" borderId="0" xfId="51" applyFont="1" applyFill="1"/>
    <xf numFmtId="207" fontId="185" fillId="6" borderId="130" xfId="50" applyNumberFormat="1" applyFont="1" applyFill="1" applyBorder="1" applyAlignment="1">
      <alignment vertical="center"/>
    </xf>
    <xf numFmtId="0" fontId="184" fillId="23" borderId="0" xfId="51" applyFont="1" applyFill="1"/>
    <xf numFmtId="207" fontId="70" fillId="6" borderId="130" xfId="50" applyNumberFormat="1" applyFont="1" applyFill="1" applyBorder="1" applyAlignment="1">
      <alignment vertical="center"/>
    </xf>
    <xf numFmtId="207" fontId="70" fillId="6" borderId="130" xfId="50" applyNumberFormat="1" applyFont="1" applyFill="1" applyBorder="1" applyAlignment="1">
      <alignment horizontal="center" vertical="center"/>
    </xf>
    <xf numFmtId="3" fontId="70" fillId="6" borderId="130" xfId="50" applyNumberFormat="1" applyFont="1" applyFill="1" applyBorder="1" applyAlignment="1">
      <alignment horizontal="center" vertical="center"/>
    </xf>
    <xf numFmtId="207" fontId="6" fillId="6" borderId="130" xfId="50" applyNumberFormat="1" applyFont="1" applyFill="1" applyBorder="1" applyAlignment="1">
      <alignment vertical="center"/>
    </xf>
    <xf numFmtId="207" fontId="186" fillId="6" borderId="130" xfId="50" applyNumberFormat="1" applyFont="1" applyFill="1" applyBorder="1" applyAlignment="1">
      <alignment horizontal="center" vertical="center"/>
    </xf>
    <xf numFmtId="0" fontId="6" fillId="0" borderId="145" xfId="51" applyFont="1" applyBorder="1" applyAlignment="1">
      <alignment vertical="center"/>
    </xf>
    <xf numFmtId="0" fontId="6" fillId="0" borderId="145" xfId="51" applyFont="1" applyBorder="1" applyAlignment="1">
      <alignment horizontal="center" vertical="center"/>
    </xf>
    <xf numFmtId="0" fontId="4" fillId="23" borderId="0" xfId="52" applyFill="1"/>
    <xf numFmtId="0" fontId="4" fillId="0" borderId="0" xfId="52"/>
    <xf numFmtId="0" fontId="4" fillId="0" borderId="0" xfId="52" applyAlignment="1">
      <alignment horizontal="center" wrapText="1"/>
    </xf>
    <xf numFmtId="14" fontId="6" fillId="0" borderId="145" xfId="51" applyNumberFormat="1" applyFont="1" applyBorder="1" applyAlignment="1">
      <alignment horizontal="center" vertical="center"/>
    </xf>
    <xf numFmtId="0" fontId="4" fillId="23" borderId="0" xfId="52" applyFill="1" applyAlignment="1">
      <alignment horizontal="center" wrapText="1"/>
    </xf>
    <xf numFmtId="0" fontId="188" fillId="23" borderId="0" xfId="52" applyFont="1" applyFill="1" applyAlignment="1">
      <alignment horizontal="center" vertical="center" wrapText="1"/>
    </xf>
    <xf numFmtId="0" fontId="6" fillId="23" borderId="0" xfId="51" applyFont="1" applyFill="1" applyAlignment="1">
      <alignment vertical="center"/>
    </xf>
    <xf numFmtId="0" fontId="6" fillId="23" borderId="0" xfId="51" applyFont="1" applyFill="1" applyAlignment="1">
      <alignment horizontal="center" vertical="center"/>
    </xf>
    <xf numFmtId="0" fontId="189" fillId="23" borderId="0" xfId="52" applyFont="1" applyFill="1" applyAlignment="1">
      <alignment horizontal="center" vertical="top"/>
    </xf>
    <xf numFmtId="14" fontId="189" fillId="23" borderId="0" xfId="52" applyNumberFormat="1" applyFont="1" applyFill="1" applyAlignment="1">
      <alignment horizontal="left" vertical="top"/>
    </xf>
    <xf numFmtId="0" fontId="4" fillId="23" borderId="0" xfId="52" applyFill="1" applyAlignment="1">
      <alignment vertical="center" wrapText="1"/>
    </xf>
    <xf numFmtId="0" fontId="4" fillId="23" borderId="0" xfId="52" applyFill="1" applyAlignment="1">
      <alignment horizontal="center"/>
    </xf>
    <xf numFmtId="0" fontId="4" fillId="23" borderId="0" xfId="52" applyFill="1" applyAlignment="1">
      <alignment horizontal="center" vertical="center"/>
    </xf>
    <xf numFmtId="0" fontId="189" fillId="23" borderId="0" xfId="52" applyFont="1" applyFill="1" applyAlignment="1">
      <alignment horizontal="center" vertical="top" wrapText="1"/>
    </xf>
    <xf numFmtId="49" fontId="189" fillId="23" borderId="0" xfId="52" applyNumberFormat="1" applyFont="1" applyFill="1" applyAlignment="1">
      <alignment horizontal="center" vertical="top" wrapText="1"/>
    </xf>
    <xf numFmtId="14" fontId="189" fillId="23" borderId="0" xfId="52" applyNumberFormat="1" applyFont="1" applyFill="1" applyAlignment="1">
      <alignment vertical="top"/>
    </xf>
    <xf numFmtId="0" fontId="177" fillId="12" borderId="130" xfId="53" applyFont="1" applyFill="1" applyBorder="1" applyAlignment="1">
      <alignment horizontal="center" vertical="center" wrapText="1"/>
    </xf>
    <xf numFmtId="0" fontId="177" fillId="12" borderId="130" xfId="52" applyFont="1" applyFill="1" applyBorder="1" applyAlignment="1">
      <alignment horizontal="center" vertical="center" wrapText="1"/>
    </xf>
    <xf numFmtId="14" fontId="177" fillId="12" borderId="130" xfId="52" applyNumberFormat="1" applyFont="1" applyFill="1" applyBorder="1" applyAlignment="1">
      <alignment horizontal="center" vertical="center" wrapText="1"/>
    </xf>
    <xf numFmtId="14" fontId="177" fillId="12" borderId="130" xfId="51" applyNumberFormat="1" applyFont="1" applyFill="1" applyBorder="1" applyAlignment="1">
      <alignment horizontal="center" vertical="center" wrapText="1"/>
    </xf>
    <xf numFmtId="0" fontId="177" fillId="12" borderId="130" xfId="51" applyFont="1" applyFill="1" applyBorder="1" applyAlignment="1">
      <alignment horizontal="center" vertical="center" wrapText="1"/>
    </xf>
    <xf numFmtId="0" fontId="177" fillId="69" borderId="130" xfId="52" applyFont="1" applyFill="1" applyBorder="1" applyAlignment="1">
      <alignment horizontal="center" vertical="center" wrapText="1"/>
    </xf>
    <xf numFmtId="14" fontId="177" fillId="70" borderId="130" xfId="51" applyNumberFormat="1" applyFont="1" applyFill="1" applyBorder="1" applyAlignment="1">
      <alignment horizontal="center" vertical="center"/>
    </xf>
    <xf numFmtId="0" fontId="177" fillId="69" borderId="130" xfId="52" applyFont="1" applyFill="1" applyBorder="1" applyAlignment="1">
      <alignment horizontal="left" vertical="center" wrapText="1"/>
    </xf>
    <xf numFmtId="14" fontId="177" fillId="69" borderId="130" xfId="51" applyNumberFormat="1" applyFont="1" applyFill="1" applyBorder="1" applyAlignment="1">
      <alignment horizontal="center" vertical="center" wrapText="1"/>
    </xf>
    <xf numFmtId="0" fontId="177" fillId="69" borderId="130" xfId="51" applyFont="1" applyFill="1" applyBorder="1" applyAlignment="1">
      <alignment horizontal="center" vertical="center" wrapText="1"/>
    </xf>
    <xf numFmtId="14" fontId="177" fillId="70" borderId="151" xfId="51" applyNumberFormat="1" applyFont="1" applyFill="1" applyBorder="1" applyAlignment="1">
      <alignment horizontal="center" vertical="center"/>
    </xf>
    <xf numFmtId="2" fontId="177" fillId="69" borderId="130" xfId="52" applyNumberFormat="1" applyFont="1" applyFill="1" applyBorder="1" applyAlignment="1">
      <alignment horizontal="center" vertical="center" wrapText="1"/>
    </xf>
    <xf numFmtId="0" fontId="190" fillId="0" borderId="0" xfId="52" applyFont="1" applyAlignment="1">
      <alignment horizontal="right" vertical="center"/>
    </xf>
    <xf numFmtId="0" fontId="9" fillId="0" borderId="0" xfId="52" applyFont="1" applyAlignment="1">
      <alignment horizontal="center" vertical="center" wrapText="1"/>
    </xf>
    <xf numFmtId="0" fontId="9" fillId="0" borderId="0" xfId="52" applyFont="1" applyAlignment="1">
      <alignment horizontal="center" vertical="center"/>
    </xf>
    <xf numFmtId="0" fontId="9" fillId="0" borderId="0" xfId="52" applyFont="1" applyAlignment="1">
      <alignment vertical="center" wrapText="1"/>
    </xf>
    <xf numFmtId="14" fontId="9" fillId="0" borderId="0" xfId="52" applyNumberFormat="1" applyFont="1" applyAlignment="1">
      <alignment horizontal="center" vertical="center"/>
    </xf>
    <xf numFmtId="14" fontId="177" fillId="0" borderId="0" xfId="51" applyNumberFormat="1" applyFont="1" applyAlignment="1">
      <alignment horizontal="center" vertical="center"/>
    </xf>
    <xf numFmtId="0" fontId="177" fillId="0" borderId="0" xfId="51" applyFont="1" applyAlignment="1">
      <alignment horizontal="center" vertical="center" wrapText="1"/>
    </xf>
    <xf numFmtId="14" fontId="177" fillId="0" borderId="0" xfId="51" applyNumberFormat="1" applyFont="1" applyAlignment="1">
      <alignment horizontal="left" vertical="center"/>
    </xf>
    <xf numFmtId="14" fontId="9" fillId="0" borderId="0" xfId="51" applyNumberFormat="1" applyFont="1" applyAlignment="1">
      <alignment horizontal="center" vertical="center" wrapText="1"/>
    </xf>
    <xf numFmtId="14" fontId="9" fillId="0" borderId="0" xfId="52" applyNumberFormat="1" applyFont="1" applyAlignment="1">
      <alignment vertical="center"/>
    </xf>
    <xf numFmtId="0" fontId="190" fillId="23" borderId="0" xfId="53" applyFont="1" applyFill="1" applyAlignment="1">
      <alignment horizontal="right" vertical="center"/>
    </xf>
    <xf numFmtId="0" fontId="9" fillId="23" borderId="0" xfId="52" applyFont="1" applyFill="1" applyAlignment="1">
      <alignment horizontal="center" vertical="center" wrapText="1"/>
    </xf>
    <xf numFmtId="49" fontId="9" fillId="23" borderId="0" xfId="52" applyNumberFormat="1" applyFont="1" applyFill="1" applyAlignment="1">
      <alignment horizontal="center" vertical="center" wrapText="1"/>
    </xf>
    <xf numFmtId="0" fontId="9" fillId="23" borderId="0" xfId="52" applyFont="1" applyFill="1" applyAlignment="1">
      <alignment horizontal="center" vertical="center"/>
    </xf>
    <xf numFmtId="0" fontId="9" fillId="23" borderId="0" xfId="52" applyFont="1" applyFill="1" applyAlignment="1">
      <alignment vertical="center" wrapText="1"/>
    </xf>
    <xf numFmtId="14" fontId="177" fillId="23" borderId="0" xfId="51" applyNumberFormat="1" applyFont="1" applyFill="1" applyAlignment="1">
      <alignment horizontal="center" vertical="center"/>
    </xf>
    <xf numFmtId="0" fontId="177" fillId="23" borderId="0" xfId="51" applyFont="1" applyFill="1" applyAlignment="1">
      <alignment horizontal="center" vertical="center" wrapText="1"/>
    </xf>
    <xf numFmtId="0" fontId="9" fillId="23" borderId="0" xfId="52" applyFont="1" applyFill="1" applyAlignment="1">
      <alignment vertical="center"/>
    </xf>
    <xf numFmtId="49" fontId="4" fillId="23" borderId="0" xfId="52" applyNumberFormat="1" applyFill="1" applyAlignment="1">
      <alignment horizontal="center" wrapText="1"/>
    </xf>
    <xf numFmtId="49" fontId="4" fillId="0" borderId="0" xfId="52" applyNumberFormat="1" applyAlignment="1">
      <alignment horizontal="center" wrapText="1"/>
    </xf>
    <xf numFmtId="0" fontId="4" fillId="0" borderId="0" xfId="52" applyAlignment="1">
      <alignment horizontal="center"/>
    </xf>
    <xf numFmtId="0" fontId="4" fillId="0" borderId="0" xfId="52" applyAlignment="1">
      <alignment vertical="center" wrapText="1"/>
    </xf>
    <xf numFmtId="0" fontId="4" fillId="0" borderId="0" xfId="52" applyAlignment="1">
      <alignment horizontal="center" vertical="center"/>
    </xf>
    <xf numFmtId="0" fontId="1" fillId="23" borderId="0" xfId="51" applyFill="1"/>
    <xf numFmtId="0" fontId="1" fillId="23" borderId="0" xfId="51" applyFill="1" applyAlignment="1">
      <alignment horizontal="center" vertical="center"/>
    </xf>
    <xf numFmtId="0" fontId="191" fillId="23" borderId="0" xfId="51" applyFont="1" applyFill="1"/>
    <xf numFmtId="0" fontId="192" fillId="23" borderId="0" xfId="51" applyFont="1" applyFill="1"/>
    <xf numFmtId="0" fontId="192" fillId="23" borderId="0" xfId="51" applyFont="1" applyFill="1" applyAlignment="1">
      <alignment horizontal="right" vertical="top"/>
    </xf>
    <xf numFmtId="0" fontId="192" fillId="23" borderId="0" xfId="51" applyFont="1" applyFill="1" applyAlignment="1">
      <alignment horizontal="center" vertical="center"/>
    </xf>
    <xf numFmtId="0" fontId="192" fillId="23" borderId="0" xfId="51" applyFont="1" applyFill="1" applyAlignment="1">
      <alignment horizontal="center" vertical="top"/>
    </xf>
    <xf numFmtId="0" fontId="193" fillId="23" borderId="0" xfId="51" applyFont="1" applyFill="1" applyAlignment="1">
      <alignment horizontal="center"/>
    </xf>
    <xf numFmtId="0" fontId="130" fillId="23" borderId="0" xfId="51" applyFont="1" applyFill="1"/>
    <xf numFmtId="0" fontId="177" fillId="71" borderId="130" xfId="52" applyFont="1" applyFill="1" applyBorder="1" applyAlignment="1">
      <alignment horizontal="center" vertical="center" wrapText="1"/>
    </xf>
    <xf numFmtId="0" fontId="177" fillId="69" borderId="130" xfId="52" quotePrefix="1" applyFont="1" applyFill="1" applyBorder="1" applyAlignment="1">
      <alignment horizontal="center" vertical="center" wrapText="1"/>
    </xf>
    <xf numFmtId="0" fontId="1" fillId="0" borderId="0" xfId="55"/>
    <xf numFmtId="0" fontId="195" fillId="8" borderId="39" xfId="54" applyFont="1" applyFill="1" applyBorder="1" applyAlignment="1">
      <alignment horizontal="left" vertical="center"/>
    </xf>
    <xf numFmtId="0" fontId="195" fillId="8" borderId="51" xfId="54" applyFont="1" applyFill="1" applyBorder="1" applyAlignment="1">
      <alignment horizontal="left" vertical="center"/>
    </xf>
    <xf numFmtId="0" fontId="32" fillId="0" borderId="52" xfId="54" applyFont="1" applyBorder="1" applyAlignment="1">
      <alignment horizontal="center" vertical="center"/>
    </xf>
    <xf numFmtId="0" fontId="195" fillId="8" borderId="41" xfId="54" applyFont="1" applyFill="1" applyBorder="1" applyAlignment="1">
      <alignment horizontal="left" vertical="center"/>
    </xf>
    <xf numFmtId="0" fontId="195" fillId="0" borderId="51" xfId="54" applyFont="1" applyBorder="1" applyAlignment="1">
      <alignment horizontal="left" vertical="center"/>
    </xf>
    <xf numFmtId="0" fontId="195" fillId="0" borderId="52" xfId="54" applyFont="1" applyBorder="1" applyAlignment="1">
      <alignment horizontal="left" vertical="center"/>
    </xf>
    <xf numFmtId="0" fontId="197" fillId="0" borderId="52" xfId="55" applyFont="1" applyBorder="1" applyAlignment="1">
      <alignment horizontal="center"/>
    </xf>
    <xf numFmtId="0" fontId="197" fillId="0" borderId="47" xfId="55" applyFont="1" applyBorder="1" applyAlignment="1">
      <alignment horizontal="center"/>
    </xf>
    <xf numFmtId="0" fontId="198" fillId="0" borderId="0" xfId="55" applyFont="1"/>
    <xf numFmtId="0" fontId="198" fillId="0" borderId="40" xfId="55" applyFont="1" applyBorder="1"/>
    <xf numFmtId="0" fontId="198" fillId="0" borderId="36" xfId="55" applyFont="1" applyBorder="1"/>
    <xf numFmtId="0" fontId="198" fillId="0" borderId="37" xfId="55" applyFont="1" applyBorder="1"/>
    <xf numFmtId="0" fontId="198" fillId="0" borderId="38" xfId="55" applyFont="1" applyBorder="1"/>
    <xf numFmtId="0" fontId="198" fillId="0" borderId="39" xfId="55" applyFont="1" applyBorder="1"/>
    <xf numFmtId="0" fontId="198" fillId="0" borderId="0" xfId="55" applyFont="1" applyAlignment="1">
      <alignment horizontal="center" vertical="center"/>
    </xf>
    <xf numFmtId="0" fontId="198" fillId="0" borderId="41" xfId="55" applyFont="1" applyBorder="1"/>
    <xf numFmtId="0" fontId="198" fillId="0" borderId="42" xfId="55" applyFont="1" applyBorder="1"/>
    <xf numFmtId="0" fontId="198" fillId="0" borderId="43" xfId="55" applyFont="1" applyBorder="1"/>
    <xf numFmtId="0" fontId="198" fillId="0" borderId="51" xfId="55" applyFont="1" applyBorder="1"/>
    <xf numFmtId="0" fontId="198" fillId="0" borderId="52" xfId="55" applyFont="1" applyBorder="1"/>
    <xf numFmtId="0" fontId="198" fillId="0" borderId="47" xfId="55" applyFont="1" applyBorder="1"/>
    <xf numFmtId="0" fontId="1" fillId="0" borderId="41" xfId="55" applyBorder="1"/>
    <xf numFmtId="0" fontId="1" fillId="0" borderId="42" xfId="55" applyBorder="1"/>
    <xf numFmtId="0" fontId="1" fillId="0" borderId="43" xfId="55" applyBorder="1"/>
    <xf numFmtId="0" fontId="55" fillId="0" borderId="0" xfId="55" applyFont="1"/>
    <xf numFmtId="0" fontId="199" fillId="0" borderId="0" xfId="55" applyFont="1"/>
    <xf numFmtId="0" fontId="73" fillId="0" borderId="0" xfId="55" applyFont="1"/>
    <xf numFmtId="0" fontId="55" fillId="0" borderId="36" xfId="55" applyFont="1" applyBorder="1" applyAlignment="1">
      <alignment horizontal="center"/>
    </xf>
    <xf numFmtId="0" fontId="55" fillId="0" borderId="37" xfId="55" applyFont="1" applyBorder="1" applyAlignment="1">
      <alignment horizontal="center"/>
    </xf>
    <xf numFmtId="0" fontId="200" fillId="0" borderId="0" xfId="55" applyFont="1"/>
    <xf numFmtId="0" fontId="55" fillId="0" borderId="38" xfId="55" applyFont="1" applyBorder="1" applyAlignment="1">
      <alignment horizontal="center"/>
    </xf>
    <xf numFmtId="194" fontId="137" fillId="50" borderId="0" xfId="0" applyNumberFormat="1" applyFont="1" applyFill="1" applyAlignment="1">
      <alignment horizontal="center"/>
    </xf>
    <xf numFmtId="181" fontId="4" fillId="6" borderId="0" xfId="37" applyNumberFormat="1" applyFont="1" applyFill="1" applyAlignment="1">
      <alignment horizontal="left" vertical="center"/>
    </xf>
    <xf numFmtId="0" fontId="201" fillId="23" borderId="0" xfId="37" applyFont="1" applyFill="1"/>
    <xf numFmtId="208" fontId="148" fillId="23" borderId="112" xfId="37" applyNumberFormat="1" applyFont="1" applyFill="1" applyBorder="1" applyAlignment="1">
      <alignment horizontal="center" vertical="center"/>
    </xf>
    <xf numFmtId="208" fontId="144" fillId="0" borderId="108" xfId="37" applyNumberFormat="1" applyFont="1" applyBorder="1" applyAlignment="1">
      <alignment horizontal="center" vertical="center"/>
    </xf>
    <xf numFmtId="194" fontId="58" fillId="0" borderId="0" xfId="0" applyNumberFormat="1" applyFont="1"/>
    <xf numFmtId="195" fontId="202" fillId="67" borderId="0" xfId="0" applyNumberFormat="1" applyFont="1" applyFill="1"/>
    <xf numFmtId="197" fontId="202" fillId="67" borderId="0" xfId="0" applyNumberFormat="1" applyFont="1" applyFill="1"/>
    <xf numFmtId="3" fontId="185" fillId="73" borderId="130" xfId="50" applyNumberFormat="1" applyFont="1" applyFill="1" applyBorder="1" applyAlignment="1">
      <alignment horizontal="center" vertical="center"/>
    </xf>
    <xf numFmtId="3" fontId="185" fillId="73" borderId="132" xfId="50" applyNumberFormat="1" applyFont="1" applyFill="1" applyBorder="1" applyAlignment="1">
      <alignment horizontal="center" vertical="center"/>
    </xf>
    <xf numFmtId="3" fontId="183" fillId="73" borderId="130" xfId="50" applyNumberFormat="1" applyFont="1" applyFill="1" applyBorder="1" applyAlignment="1">
      <alignment horizontal="center" vertical="center"/>
    </xf>
    <xf numFmtId="191" fontId="177" fillId="69" borderId="130" xfId="52" applyNumberFormat="1" applyFont="1" applyFill="1" applyBorder="1" applyAlignment="1">
      <alignment horizontal="center" vertical="center" wrapText="1"/>
    </xf>
    <xf numFmtId="191" fontId="177" fillId="69" borderId="130" xfId="51" applyNumberFormat="1" applyFont="1" applyFill="1" applyBorder="1" applyAlignment="1">
      <alignment horizontal="center" vertical="center" wrapText="1"/>
    </xf>
    <xf numFmtId="191" fontId="9" fillId="0" borderId="0" xfId="52" applyNumberFormat="1" applyFont="1" applyAlignment="1">
      <alignment horizontal="center" vertical="center"/>
    </xf>
    <xf numFmtId="191" fontId="177" fillId="0" borderId="0" xfId="51" applyNumberFormat="1" applyFont="1" applyAlignment="1">
      <alignment horizontal="center" vertical="center"/>
    </xf>
    <xf numFmtId="191" fontId="9" fillId="0" borderId="0" xfId="51" applyNumberFormat="1" applyFont="1" applyAlignment="1">
      <alignment horizontal="center" vertical="center" wrapText="1"/>
    </xf>
    <xf numFmtId="0" fontId="183" fillId="0" borderId="129" xfId="50" applyFont="1" applyBorder="1" applyAlignment="1">
      <alignment vertical="center"/>
    </xf>
    <xf numFmtId="0" fontId="183" fillId="6" borderId="130" xfId="50" applyFont="1" applyFill="1" applyBorder="1" applyAlignment="1">
      <alignment vertical="center"/>
    </xf>
    <xf numFmtId="2" fontId="9" fillId="0" borderId="0" xfId="52" applyNumberFormat="1" applyFont="1" applyAlignment="1">
      <alignment vertical="center"/>
    </xf>
    <xf numFmtId="178" fontId="203" fillId="0" borderId="0" xfId="37" applyNumberFormat="1" applyFont="1"/>
    <xf numFmtId="2" fontId="206" fillId="0" borderId="134" xfId="3" applyNumberFormat="1" applyFont="1" applyBorder="1" applyAlignment="1">
      <alignment horizontal="left" vertical="center" shrinkToFit="1"/>
    </xf>
    <xf numFmtId="2" fontId="207" fillId="0" borderId="120" xfId="3" applyNumberFormat="1" applyFont="1" applyBorder="1" applyAlignment="1">
      <alignment vertical="center" shrinkToFit="1"/>
    </xf>
    <xf numFmtId="174" fontId="206" fillId="0" borderId="0" xfId="37" applyNumberFormat="1" applyFont="1" applyAlignment="1">
      <alignment horizontal="center"/>
    </xf>
    <xf numFmtId="169" fontId="206" fillId="0" borderId="124" xfId="47" applyNumberFormat="1" applyFont="1" applyFill="1" applyBorder="1" applyAlignment="1">
      <alignment horizontal="center" vertical="center" wrapText="1"/>
    </xf>
    <xf numFmtId="2" fontId="206" fillId="0" borderId="120" xfId="45" applyNumberFormat="1" applyFont="1" applyBorder="1" applyAlignment="1">
      <alignment horizontal="left" vertical="center" shrinkToFit="1"/>
    </xf>
    <xf numFmtId="2" fontId="206" fillId="0" borderId="124" xfId="3" applyNumberFormat="1" applyFont="1" applyBorder="1" applyAlignment="1">
      <alignment horizontal="left" vertical="center" wrapText="1" shrinkToFit="1"/>
    </xf>
    <xf numFmtId="2" fontId="207" fillId="0" borderId="120" xfId="45" applyNumberFormat="1" applyFont="1" applyBorder="1" applyAlignment="1">
      <alignment horizontal="left" vertical="center" wrapText="1" shrinkToFit="1"/>
    </xf>
    <xf numFmtId="10" fontId="206" fillId="0" borderId="120" xfId="3" applyNumberFormat="1" applyFont="1" applyBorder="1" applyAlignment="1">
      <alignment horizontal="center" vertical="center" wrapText="1"/>
    </xf>
    <xf numFmtId="10" fontId="206" fillId="0" borderId="120" xfId="47" applyNumberFormat="1" applyFont="1" applyFill="1" applyBorder="1" applyAlignment="1">
      <alignment horizontal="center" vertical="center" wrapText="1" shrinkToFit="1"/>
    </xf>
    <xf numFmtId="10" fontId="206" fillId="0" borderId="120" xfId="47" applyNumberFormat="1" applyFont="1" applyFill="1" applyBorder="1" applyAlignment="1">
      <alignment horizontal="center" vertical="center" wrapText="1"/>
    </xf>
    <xf numFmtId="10" fontId="206" fillId="0" borderId="128" xfId="47" applyNumberFormat="1" applyFont="1" applyFill="1" applyBorder="1" applyAlignment="1">
      <alignment horizontal="center" vertical="center" wrapText="1"/>
    </xf>
    <xf numFmtId="0" fontId="208" fillId="0" borderId="0" xfId="37" applyFont="1" applyAlignment="1">
      <alignment horizontal="right"/>
    </xf>
    <xf numFmtId="10" fontId="203" fillId="0" borderId="124" xfId="3" applyNumberFormat="1" applyFont="1" applyBorder="1" applyAlignment="1">
      <alignment horizontal="center" vertical="center" wrapText="1"/>
    </xf>
    <xf numFmtId="0" fontId="205" fillId="0" borderId="0" xfId="37" applyFont="1" applyAlignment="1">
      <alignment horizontal="right"/>
    </xf>
    <xf numFmtId="10" fontId="203" fillId="0" borderId="120" xfId="46" applyNumberFormat="1" applyFont="1" applyFill="1" applyBorder="1" applyAlignment="1">
      <alignment horizontal="center" wrapText="1"/>
    </xf>
    <xf numFmtId="0" fontId="209" fillId="56" borderId="0" xfId="37" applyFont="1" applyFill="1" applyAlignment="1">
      <alignment horizontal="right"/>
    </xf>
    <xf numFmtId="0" fontId="210" fillId="56" borderId="0" xfId="37" applyFont="1" applyFill="1" applyAlignment="1">
      <alignment horizontal="right" vertical="center"/>
    </xf>
    <xf numFmtId="14" fontId="211" fillId="56" borderId="0" xfId="37" applyNumberFormat="1" applyFont="1" applyFill="1" applyAlignment="1">
      <alignment horizontal="left" vertical="center"/>
    </xf>
    <xf numFmtId="0" fontId="209" fillId="56" borderId="0" xfId="37" applyFont="1" applyFill="1" applyAlignment="1">
      <alignment vertical="center"/>
    </xf>
    <xf numFmtId="0" fontId="209" fillId="56" borderId="0" xfId="37" applyFont="1" applyFill="1"/>
    <xf numFmtId="0" fontId="209" fillId="56" borderId="0" xfId="37" applyFont="1" applyFill="1" applyAlignment="1">
      <alignment horizontal="right" vertical="center"/>
    </xf>
    <xf numFmtId="0" fontId="209" fillId="56" borderId="0" xfId="37" applyFont="1" applyFill="1" applyAlignment="1">
      <alignment vertical="center" wrapText="1"/>
    </xf>
    <xf numFmtId="4" fontId="209" fillId="56" borderId="0" xfId="37" applyNumberFormat="1" applyFont="1" applyFill="1" applyAlignment="1">
      <alignment horizontal="center" vertical="center"/>
    </xf>
    <xf numFmtId="204" fontId="210" fillId="56" borderId="130" xfId="37" applyNumberFormat="1" applyFont="1" applyFill="1" applyBorder="1" applyAlignment="1">
      <alignment horizontal="center" vertical="center"/>
    </xf>
    <xf numFmtId="49" fontId="136" fillId="56" borderId="130" xfId="48" applyNumberFormat="1" applyFont="1" applyFill="1" applyBorder="1" applyAlignment="1">
      <alignment horizontal="right" vertical="center" wrapText="1"/>
    </xf>
    <xf numFmtId="49" fontId="210" fillId="56" borderId="130" xfId="48" applyNumberFormat="1" applyFont="1" applyFill="1" applyBorder="1" applyAlignment="1">
      <alignment horizontal="right" vertical="center" wrapText="1"/>
    </xf>
    <xf numFmtId="0" fontId="210" fillId="56" borderId="130" xfId="48" applyFont="1" applyFill="1" applyBorder="1" applyAlignment="1">
      <alignment horizontal="center" vertical="center" wrapText="1"/>
    </xf>
    <xf numFmtId="4" fontId="210" fillId="56" borderId="130" xfId="48" applyNumberFormat="1" applyFont="1" applyFill="1" applyBorder="1" applyAlignment="1">
      <alignment horizontal="center" vertical="center" wrapText="1"/>
    </xf>
    <xf numFmtId="0" fontId="212" fillId="56" borderId="130" xfId="48" applyFont="1" applyFill="1" applyBorder="1" applyAlignment="1">
      <alignment horizontal="center" vertical="center" wrapText="1"/>
    </xf>
    <xf numFmtId="174" fontId="212" fillId="56" borderId="137" xfId="48" applyNumberFormat="1" applyFont="1" applyFill="1" applyBorder="1" applyAlignment="1">
      <alignment horizontal="center" vertical="center" wrapText="1"/>
    </xf>
    <xf numFmtId="194" fontId="210" fillId="56" borderId="130" xfId="37" applyNumberFormat="1" applyFont="1" applyFill="1" applyBorder="1" applyAlignment="1">
      <alignment horizontal="center" vertical="center"/>
    </xf>
    <xf numFmtId="49" fontId="210" fillId="56" borderId="138" xfId="48" applyNumberFormat="1" applyFont="1" applyFill="1" applyBorder="1" applyAlignment="1">
      <alignment horizontal="right" vertical="center" wrapText="1"/>
    </xf>
    <xf numFmtId="0" fontId="210" fillId="56" borderId="138" xfId="48" applyFont="1" applyFill="1" applyBorder="1" applyAlignment="1">
      <alignment horizontal="center" vertical="center" wrapText="1"/>
    </xf>
    <xf numFmtId="0" fontId="209" fillId="56" borderId="138" xfId="37" applyFont="1" applyFill="1" applyBorder="1"/>
    <xf numFmtId="10" fontId="209" fillId="56" borderId="132" xfId="37" applyNumberFormat="1" applyFont="1" applyFill="1" applyBorder="1" applyAlignment="1">
      <alignment horizontal="center" vertical="center"/>
    </xf>
    <xf numFmtId="0" fontId="212" fillId="56" borderId="138" xfId="48" applyFont="1" applyFill="1" applyBorder="1" applyAlignment="1">
      <alignment horizontal="center" vertical="center" wrapText="1"/>
    </xf>
    <xf numFmtId="0" fontId="212" fillId="56" borderId="139" xfId="48" applyFont="1" applyFill="1" applyBorder="1" applyAlignment="1">
      <alignment horizontal="center" vertical="center" wrapText="1"/>
    </xf>
    <xf numFmtId="194" fontId="210" fillId="56" borderId="138" xfId="37" applyNumberFormat="1" applyFont="1" applyFill="1" applyBorder="1" applyAlignment="1">
      <alignment horizontal="center" vertical="center"/>
    </xf>
    <xf numFmtId="2" fontId="136" fillId="46" borderId="133" xfId="3" applyNumberFormat="1" applyFont="1" applyFill="1" applyBorder="1" applyAlignment="1">
      <alignment horizontal="left" vertical="center" shrinkToFit="1"/>
    </xf>
    <xf numFmtId="2" fontId="136" fillId="46" borderId="118" xfId="3" applyNumberFormat="1" applyFont="1" applyFill="1" applyBorder="1" applyAlignment="1">
      <alignment horizontal="left" vertical="center" shrinkToFit="1"/>
    </xf>
    <xf numFmtId="0" fontId="213" fillId="46" borderId="118" xfId="37" applyFont="1" applyFill="1" applyBorder="1"/>
    <xf numFmtId="14" fontId="136" fillId="46" borderId="118" xfId="37" applyNumberFormat="1" applyFont="1" applyFill="1" applyBorder="1" applyAlignment="1">
      <alignment horizontal="center"/>
    </xf>
    <xf numFmtId="169" fontId="136" fillId="46" borderId="118" xfId="37" applyNumberFormat="1" applyFont="1" applyFill="1" applyBorder="1" applyAlignment="1">
      <alignment horizontal="center"/>
    </xf>
    <xf numFmtId="169" fontId="136" fillId="46" borderId="118" xfId="47" applyNumberFormat="1" applyFont="1" applyFill="1" applyBorder="1" applyAlignment="1">
      <alignment horizontal="center"/>
    </xf>
    <xf numFmtId="169" fontId="136" fillId="46" borderId="140" xfId="47" applyNumberFormat="1" applyFont="1" applyFill="1" applyBorder="1" applyAlignment="1">
      <alignment horizontal="center"/>
    </xf>
    <xf numFmtId="178" fontId="136" fillId="46" borderId="0" xfId="37" applyNumberFormat="1" applyFont="1" applyFill="1"/>
    <xf numFmtId="178" fontId="136" fillId="46" borderId="119" xfId="37" applyNumberFormat="1" applyFont="1" applyFill="1" applyBorder="1" applyAlignment="1">
      <alignment horizontal="center"/>
    </xf>
    <xf numFmtId="169" fontId="214" fillId="46" borderId="118" xfId="46" applyNumberFormat="1" applyFont="1" applyFill="1" applyBorder="1" applyAlignment="1">
      <alignment horizontal="center"/>
    </xf>
    <xf numFmtId="169" fontId="136" fillId="46" borderId="118" xfId="46" applyNumberFormat="1" applyFont="1" applyFill="1" applyBorder="1" applyAlignment="1">
      <alignment horizontal="center"/>
    </xf>
    <xf numFmtId="0" fontId="213" fillId="56" borderId="134" xfId="37" applyFont="1" applyFill="1" applyBorder="1" applyAlignment="1">
      <alignment horizontal="left"/>
    </xf>
    <xf numFmtId="0" fontId="213" fillId="56" borderId="120" xfId="37" applyFont="1" applyFill="1" applyBorder="1" applyAlignment="1">
      <alignment horizontal="left"/>
    </xf>
    <xf numFmtId="0" fontId="215" fillId="56" borderId="120" xfId="37" applyFont="1" applyFill="1" applyBorder="1"/>
    <xf numFmtId="14" fontId="136" fillId="56" borderId="120" xfId="37" applyNumberFormat="1" applyFont="1" applyFill="1" applyBorder="1" applyAlignment="1">
      <alignment horizontal="center"/>
    </xf>
    <xf numFmtId="169" fontId="136" fillId="56" borderId="120" xfId="37" applyNumberFormat="1" applyFont="1" applyFill="1" applyBorder="1" applyAlignment="1">
      <alignment horizontal="center"/>
    </xf>
    <xf numFmtId="169" fontId="136" fillId="56" borderId="120" xfId="47" applyNumberFormat="1" applyFont="1" applyFill="1" applyBorder="1" applyAlignment="1">
      <alignment horizontal="center"/>
    </xf>
    <xf numFmtId="169" fontId="136" fillId="56" borderId="128" xfId="47" applyNumberFormat="1" applyFont="1" applyFill="1" applyBorder="1" applyAlignment="1">
      <alignment horizontal="center"/>
    </xf>
    <xf numFmtId="178" fontId="136" fillId="56" borderId="0" xfId="37" applyNumberFormat="1" applyFont="1" applyFill="1"/>
    <xf numFmtId="178" fontId="136" fillId="56" borderId="121" xfId="37" applyNumberFormat="1" applyFont="1" applyFill="1" applyBorder="1" applyAlignment="1">
      <alignment horizontal="center"/>
    </xf>
    <xf numFmtId="169" fontId="136" fillId="56" borderId="120" xfId="3" applyNumberFormat="1" applyFont="1" applyFill="1" applyBorder="1" applyAlignment="1">
      <alignment horizontal="center" vertical="center"/>
    </xf>
    <xf numFmtId="2" fontId="139" fillId="73" borderId="134" xfId="3" applyNumberFormat="1" applyFont="1" applyFill="1" applyBorder="1" applyAlignment="1">
      <alignment horizontal="left" vertical="center" shrinkToFit="1"/>
    </xf>
    <xf numFmtId="2" fontId="216" fillId="73" borderId="120" xfId="3" applyNumberFormat="1" applyFont="1" applyFill="1" applyBorder="1" applyAlignment="1">
      <alignment vertical="center" shrinkToFit="1"/>
    </xf>
    <xf numFmtId="174" fontId="139" fillId="73" borderId="0" xfId="37" applyNumberFormat="1" applyFont="1" applyFill="1" applyAlignment="1">
      <alignment horizontal="center"/>
    </xf>
    <xf numFmtId="169" fontId="139" fillId="73" borderId="120" xfId="3" applyNumberFormat="1" applyFont="1" applyFill="1" applyBorder="1" applyAlignment="1">
      <alignment horizontal="center" vertical="center" wrapText="1"/>
    </xf>
    <xf numFmtId="169" fontId="139" fillId="73" borderId="124" xfId="47" applyNumberFormat="1" applyFont="1" applyFill="1" applyBorder="1" applyAlignment="1">
      <alignment horizontal="center" vertical="center" wrapText="1"/>
    </xf>
    <xf numFmtId="169" fontId="139" fillId="73" borderId="141" xfId="47" applyNumberFormat="1" applyFont="1" applyFill="1" applyBorder="1" applyAlignment="1">
      <alignment horizontal="center" vertical="center" wrapText="1"/>
    </xf>
    <xf numFmtId="178" fontId="217" fillId="73" borderId="0" xfId="37" applyNumberFormat="1" applyFont="1" applyFill="1"/>
    <xf numFmtId="178" fontId="217" fillId="73" borderId="127" xfId="3" applyNumberFormat="1" applyFont="1" applyFill="1" applyBorder="1" applyAlignment="1">
      <alignment horizontal="center" vertical="center" wrapText="1"/>
    </xf>
    <xf numFmtId="169" fontId="217" fillId="73" borderId="124" xfId="3" applyNumberFormat="1" applyFont="1" applyFill="1" applyBorder="1" applyAlignment="1">
      <alignment horizontal="center" vertical="center" wrapText="1"/>
    </xf>
    <xf numFmtId="0" fontId="218" fillId="0" borderId="135" xfId="37" applyFont="1" applyBorder="1" applyAlignment="1">
      <alignment horizontal="left"/>
    </xf>
    <xf numFmtId="0" fontId="218" fillId="0" borderId="122" xfId="37" applyFont="1" applyBorder="1" applyAlignment="1">
      <alignment horizontal="left"/>
    </xf>
    <xf numFmtId="0" fontId="219" fillId="0" borderId="122" xfId="37" applyFont="1" applyBorder="1" applyAlignment="1">
      <alignment wrapText="1"/>
    </xf>
    <xf numFmtId="14" fontId="206" fillId="0" borderId="122" xfId="37" applyNumberFormat="1" applyFont="1" applyBorder="1" applyAlignment="1">
      <alignment horizontal="center"/>
    </xf>
    <xf numFmtId="169" fontId="206" fillId="0" borderId="120" xfId="37" applyNumberFormat="1" applyFont="1" applyBorder="1" applyAlignment="1">
      <alignment horizontal="center"/>
    </xf>
    <xf numFmtId="169" fontId="206" fillId="0" borderId="128" xfId="47" applyNumberFormat="1" applyFont="1" applyFill="1" applyBorder="1" applyAlignment="1">
      <alignment horizontal="center"/>
    </xf>
    <xf numFmtId="178" fontId="206" fillId="0" borderId="0" xfId="37" applyNumberFormat="1" applyFont="1"/>
    <xf numFmtId="178" fontId="206" fillId="0" borderId="121" xfId="37" applyNumberFormat="1" applyFont="1" applyBorder="1" applyAlignment="1">
      <alignment horizontal="center"/>
    </xf>
    <xf numFmtId="169" fontId="206" fillId="0" borderId="120" xfId="3" applyNumberFormat="1" applyFont="1" applyBorder="1" applyAlignment="1">
      <alignment horizontal="center" vertical="center"/>
    </xf>
    <xf numFmtId="2" fontId="136" fillId="56" borderId="120" xfId="45" applyNumberFormat="1" applyFont="1" applyFill="1" applyBorder="1" applyAlignment="1">
      <alignment horizontal="left" vertical="center" wrapText="1" shrinkToFit="1"/>
    </xf>
    <xf numFmtId="2" fontId="136" fillId="56" borderId="124" xfId="3" applyNumberFormat="1" applyFont="1" applyFill="1" applyBorder="1" applyAlignment="1">
      <alignment horizontal="left" vertical="center" wrapText="1" shrinkToFit="1"/>
    </xf>
    <xf numFmtId="174" fontId="136" fillId="56" borderId="0" xfId="37" applyNumberFormat="1" applyFont="1" applyFill="1" applyAlignment="1">
      <alignment horizontal="center"/>
    </xf>
    <xf numFmtId="10" fontId="136" fillId="56" borderId="120" xfId="3" applyNumberFormat="1" applyFont="1" applyFill="1" applyBorder="1" applyAlignment="1">
      <alignment horizontal="center" vertical="center" wrapText="1"/>
    </xf>
    <xf numFmtId="10" fontId="136" fillId="56" borderId="120" xfId="47" applyNumberFormat="1" applyFont="1" applyFill="1" applyBorder="1" applyAlignment="1">
      <alignment horizontal="center" vertical="center" wrapText="1" shrinkToFit="1"/>
    </xf>
    <xf numFmtId="10" fontId="136" fillId="56" borderId="120" xfId="47" applyNumberFormat="1" applyFont="1" applyFill="1" applyBorder="1" applyAlignment="1">
      <alignment horizontal="center" vertical="center" wrapText="1"/>
    </xf>
    <xf numFmtId="10" fontId="136" fillId="56" borderId="128" xfId="47" applyNumberFormat="1" applyFont="1" applyFill="1" applyBorder="1" applyAlignment="1">
      <alignment horizontal="center" vertical="center" wrapText="1"/>
    </xf>
    <xf numFmtId="10" fontId="136" fillId="56" borderId="120" xfId="46" applyNumberFormat="1" applyFont="1" applyFill="1" applyBorder="1" applyAlignment="1">
      <alignment horizontal="center" wrapText="1"/>
    </xf>
    <xf numFmtId="169" fontId="136" fillId="56" borderId="120" xfId="46" applyNumberFormat="1" applyFont="1" applyFill="1" applyBorder="1" applyAlignment="1">
      <alignment horizontal="center" wrapText="1"/>
    </xf>
    <xf numFmtId="2" fontId="136" fillId="56" borderId="120" xfId="45" applyNumberFormat="1" applyFont="1" applyFill="1" applyBorder="1" applyAlignment="1">
      <alignment horizontal="left" vertical="center" shrinkToFit="1"/>
    </xf>
    <xf numFmtId="0" fontId="220" fillId="56" borderId="0" xfId="37" applyFont="1" applyFill="1" applyAlignment="1">
      <alignment horizontal="right"/>
    </xf>
    <xf numFmtId="169" fontId="136" fillId="56" borderId="124" xfId="3" applyNumberFormat="1" applyFont="1" applyFill="1" applyBorder="1" applyAlignment="1">
      <alignment horizontal="center" vertical="center" wrapText="1"/>
    </xf>
    <xf numFmtId="2" fontId="136" fillId="56" borderId="126" xfId="45" applyNumberFormat="1" applyFont="1" applyFill="1" applyBorder="1" applyAlignment="1">
      <alignment horizontal="left" vertical="center" shrinkToFit="1"/>
    </xf>
    <xf numFmtId="2" fontId="136" fillId="56" borderId="126" xfId="45" applyNumberFormat="1" applyFont="1" applyFill="1" applyBorder="1" applyAlignment="1">
      <alignment horizontal="left" vertical="center" wrapText="1" shrinkToFit="1"/>
    </xf>
    <xf numFmtId="2" fontId="206" fillId="0" borderId="120" xfId="45" applyNumberFormat="1" applyFont="1" applyBorder="1" applyAlignment="1">
      <alignment horizontal="left" vertical="center" wrapText="1" shrinkToFit="1"/>
    </xf>
    <xf numFmtId="10" fontId="206" fillId="0" borderId="121" xfId="45" applyNumberFormat="1" applyFont="1" applyBorder="1" applyAlignment="1">
      <alignment horizontal="left" vertical="center" shrinkToFit="1"/>
    </xf>
    <xf numFmtId="14" fontId="207" fillId="0" borderId="120" xfId="37" applyNumberFormat="1" applyFont="1" applyBorder="1" applyAlignment="1">
      <alignment horizontal="center" vertical="center" wrapText="1"/>
    </xf>
    <xf numFmtId="2" fontId="221" fillId="0" borderId="120" xfId="37" applyNumberFormat="1" applyFont="1" applyBorder="1" applyAlignment="1">
      <alignment horizontal="center" vertical="center" wrapText="1"/>
    </xf>
    <xf numFmtId="2" fontId="206" fillId="0" borderId="120" xfId="45" applyNumberFormat="1" applyFont="1" applyBorder="1" applyAlignment="1">
      <alignment horizontal="center" vertical="center" wrapText="1"/>
    </xf>
    <xf numFmtId="4" fontId="206" fillId="0" borderId="124" xfId="45" applyNumberFormat="1" applyFont="1" applyBorder="1" applyAlignment="1">
      <alignment horizontal="center" vertical="center" wrapText="1"/>
    </xf>
    <xf numFmtId="10" fontId="206" fillId="0" borderId="120" xfId="45" applyNumberFormat="1" applyFont="1" applyBorder="1" applyAlignment="1">
      <alignment horizontal="center" vertical="center" wrapText="1"/>
    </xf>
    <xf numFmtId="10" fontId="203" fillId="0" borderId="120" xfId="47" applyNumberFormat="1" applyFont="1" applyFill="1" applyBorder="1" applyAlignment="1" applyProtection="1">
      <alignment horizontal="center" wrapText="1"/>
    </xf>
    <xf numFmtId="10" fontId="214" fillId="56" borderId="116" xfId="37" applyNumberFormat="1" applyFont="1" applyFill="1" applyBorder="1" applyAlignment="1">
      <alignment horizontal="center" vertical="center"/>
    </xf>
    <xf numFmtId="10" fontId="136" fillId="56" borderId="116" xfId="37" applyNumberFormat="1" applyFont="1" applyFill="1" applyBorder="1" applyAlignment="1">
      <alignment horizontal="center" vertical="center" wrapText="1"/>
    </xf>
    <xf numFmtId="10" fontId="214" fillId="56" borderId="117" xfId="37" applyNumberFormat="1" applyFont="1" applyFill="1" applyBorder="1" applyAlignment="1">
      <alignment horizontal="center" vertical="center" wrapText="1"/>
    </xf>
    <xf numFmtId="4" fontId="136" fillId="56" borderId="117" xfId="37" applyNumberFormat="1" applyFont="1" applyFill="1" applyBorder="1" applyAlignment="1">
      <alignment horizontal="center" vertical="center" wrapText="1"/>
    </xf>
    <xf numFmtId="4" fontId="214" fillId="56" borderId="117" xfId="37" applyNumberFormat="1" applyFont="1" applyFill="1" applyBorder="1" applyAlignment="1">
      <alignment horizontal="center" vertical="center" wrapText="1"/>
    </xf>
    <xf numFmtId="203" fontId="214" fillId="56" borderId="117" xfId="37" applyNumberFormat="1" applyFont="1" applyFill="1" applyBorder="1" applyAlignment="1">
      <alignment horizontal="center" vertical="center" wrapText="1"/>
    </xf>
    <xf numFmtId="10" fontId="214" fillId="56" borderId="72" xfId="37" applyNumberFormat="1" applyFont="1" applyFill="1" applyBorder="1" applyAlignment="1">
      <alignment horizontal="center" vertical="center"/>
    </xf>
    <xf numFmtId="10" fontId="214" fillId="56" borderId="17" xfId="37" applyNumberFormat="1" applyFont="1" applyFill="1" applyBorder="1" applyAlignment="1">
      <alignment vertical="center" wrapText="1"/>
    </xf>
    <xf numFmtId="10" fontId="214" fillId="56" borderId="17" xfId="37" applyNumberFormat="1" applyFont="1" applyFill="1" applyBorder="1" applyAlignment="1">
      <alignment horizontal="center" vertical="center" wrapText="1"/>
    </xf>
    <xf numFmtId="4" fontId="136" fillId="56" borderId="17" xfId="37" applyNumberFormat="1" applyFont="1" applyFill="1" applyBorder="1" applyAlignment="1">
      <alignment horizontal="center" vertical="center" wrapText="1"/>
    </xf>
    <xf numFmtId="4" fontId="214" fillId="56" borderId="17" xfId="37" applyNumberFormat="1" applyFont="1" applyFill="1" applyBorder="1" applyAlignment="1">
      <alignment horizontal="center" vertical="center" wrapText="1"/>
    </xf>
    <xf numFmtId="203" fontId="210" fillId="56" borderId="17" xfId="37" applyNumberFormat="1" applyFont="1" applyFill="1" applyBorder="1" applyAlignment="1">
      <alignment horizontal="center" vertical="center" wrapText="1"/>
    </xf>
    <xf numFmtId="14" fontId="222" fillId="56" borderId="17" xfId="45" applyNumberFormat="1" applyFont="1" applyFill="1" applyBorder="1" applyAlignment="1">
      <alignment horizontal="center"/>
    </xf>
    <xf numFmtId="10" fontId="214" fillId="56" borderId="74" xfId="37" applyNumberFormat="1" applyFont="1" applyFill="1" applyBorder="1" applyAlignment="1">
      <alignment horizontal="center" vertical="center"/>
    </xf>
    <xf numFmtId="10" fontId="214" fillId="56" borderId="114" xfId="37" applyNumberFormat="1" applyFont="1" applyFill="1" applyBorder="1" applyAlignment="1">
      <alignment vertical="center" wrapText="1"/>
    </xf>
    <xf numFmtId="10" fontId="214" fillId="56" borderId="114" xfId="37" applyNumberFormat="1" applyFont="1" applyFill="1" applyBorder="1" applyAlignment="1">
      <alignment horizontal="center" vertical="center" wrapText="1"/>
    </xf>
    <xf numFmtId="4" fontId="136" fillId="56" borderId="114" xfId="37" applyNumberFormat="1" applyFont="1" applyFill="1" applyBorder="1" applyAlignment="1">
      <alignment horizontal="center" vertical="center" wrapText="1"/>
    </xf>
    <xf numFmtId="4" fontId="214" fillId="56" borderId="114" xfId="37" applyNumberFormat="1" applyFont="1" applyFill="1" applyBorder="1" applyAlignment="1">
      <alignment horizontal="center" vertical="center" wrapText="1"/>
    </xf>
    <xf numFmtId="203" fontId="210" fillId="56" borderId="114" xfId="37" applyNumberFormat="1" applyFont="1" applyFill="1" applyBorder="1" applyAlignment="1">
      <alignment horizontal="center" vertical="center" wrapText="1"/>
    </xf>
    <xf numFmtId="14" fontId="222" fillId="56" borderId="114" xfId="45" applyNumberFormat="1" applyFont="1" applyFill="1" applyBorder="1" applyAlignment="1">
      <alignment horizontal="center"/>
    </xf>
    <xf numFmtId="2" fontId="136" fillId="46" borderId="118" xfId="37" applyNumberFormat="1" applyFont="1" applyFill="1" applyBorder="1" applyAlignment="1">
      <alignment horizontal="center"/>
    </xf>
    <xf numFmtId="0" fontId="136" fillId="46" borderId="118" xfId="37" applyFont="1" applyFill="1" applyBorder="1"/>
    <xf numFmtId="4" fontId="136" fillId="46" borderId="118" xfId="37" applyNumberFormat="1" applyFont="1" applyFill="1" applyBorder="1" applyAlignment="1">
      <alignment horizontal="center"/>
    </xf>
    <xf numFmtId="10" fontId="136" fillId="46" borderId="118" xfId="37" applyNumberFormat="1" applyFont="1" applyFill="1" applyBorder="1" applyAlignment="1">
      <alignment horizontal="center"/>
    </xf>
    <xf numFmtId="10" fontId="214" fillId="46" borderId="118" xfId="46" applyNumberFormat="1" applyFont="1" applyFill="1" applyBorder="1" applyAlignment="1">
      <alignment horizontal="center"/>
    </xf>
    <xf numFmtId="2" fontId="136" fillId="46" borderId="118" xfId="46" applyNumberFormat="1" applyFont="1" applyFill="1" applyBorder="1" applyAlignment="1">
      <alignment horizontal="center"/>
    </xf>
    <xf numFmtId="2" fontId="136" fillId="46" borderId="118" xfId="45" applyNumberFormat="1" applyFont="1" applyFill="1" applyBorder="1" applyAlignment="1">
      <alignment horizontal="left" vertical="center" shrinkToFit="1"/>
    </xf>
    <xf numFmtId="10" fontId="136" fillId="46" borderId="119" xfId="45" applyNumberFormat="1" applyFont="1" applyFill="1" applyBorder="1" applyAlignment="1">
      <alignment horizontal="left" vertical="center" shrinkToFit="1"/>
    </xf>
    <xf numFmtId="10" fontId="213" fillId="56" borderId="121" xfId="37" applyNumberFormat="1" applyFont="1" applyFill="1" applyBorder="1" applyAlignment="1">
      <alignment horizontal="left"/>
    </xf>
    <xf numFmtId="2" fontId="136" fillId="56" borderId="120" xfId="37" applyNumberFormat="1" applyFont="1" applyFill="1" applyBorder="1" applyAlignment="1">
      <alignment horizontal="center"/>
    </xf>
    <xf numFmtId="0" fontId="136" fillId="56" borderId="120" xfId="37" applyFont="1" applyFill="1" applyBorder="1"/>
    <xf numFmtId="4" fontId="136" fillId="56" borderId="120" xfId="37" applyNumberFormat="1" applyFont="1" applyFill="1" applyBorder="1" applyAlignment="1">
      <alignment horizontal="center"/>
    </xf>
    <xf numFmtId="10" fontId="136" fillId="56" borderId="120" xfId="37" applyNumberFormat="1" applyFont="1" applyFill="1" applyBorder="1" applyAlignment="1">
      <alignment horizontal="center"/>
    </xf>
    <xf numFmtId="4" fontId="136" fillId="56" borderId="120" xfId="45" applyNumberFormat="1" applyFont="1" applyFill="1" applyBorder="1" applyAlignment="1">
      <alignment horizontal="center" vertical="center"/>
    </xf>
    <xf numFmtId="2" fontId="136" fillId="56" borderId="120" xfId="45" applyNumberFormat="1" applyFont="1" applyFill="1" applyBorder="1" applyAlignment="1">
      <alignment horizontal="center" vertical="center"/>
    </xf>
    <xf numFmtId="2" fontId="139" fillId="73" borderId="120" xfId="45" applyNumberFormat="1" applyFont="1" applyFill="1" applyBorder="1" applyAlignment="1">
      <alignment horizontal="left" vertical="center" wrapText="1" shrinkToFit="1"/>
    </xf>
    <xf numFmtId="10" fontId="139" fillId="73" borderId="121" xfId="45" applyNumberFormat="1" applyFont="1" applyFill="1" applyBorder="1" applyAlignment="1">
      <alignment horizontal="left" vertical="center" wrapText="1" shrinkToFit="1"/>
    </xf>
    <xf numFmtId="14" fontId="139" fillId="73" borderId="120" xfId="45" applyNumberFormat="1" applyFont="1" applyFill="1" applyBorder="1" applyAlignment="1">
      <alignment horizontal="center" vertical="center" wrapText="1" shrinkToFit="1"/>
    </xf>
    <xf numFmtId="2" fontId="139" fillId="73" borderId="120" xfId="45" applyNumberFormat="1" applyFont="1" applyFill="1" applyBorder="1" applyAlignment="1">
      <alignment horizontal="center" vertical="center" wrapText="1" shrinkToFit="1"/>
    </xf>
    <xf numFmtId="2" fontId="139" fillId="73" borderId="120" xfId="45" applyNumberFormat="1" applyFont="1" applyFill="1" applyBorder="1" applyAlignment="1">
      <alignment horizontal="center" vertical="center" wrapText="1"/>
    </xf>
    <xf numFmtId="4" fontId="139" fillId="73" borderId="120" xfId="45" applyNumberFormat="1" applyFont="1" applyFill="1" applyBorder="1" applyAlignment="1">
      <alignment horizontal="center" vertical="center" wrapText="1"/>
    </xf>
    <xf numFmtId="10" fontId="139" fillId="73" borderId="120" xfId="45" applyNumberFormat="1" applyFont="1" applyFill="1" applyBorder="1" applyAlignment="1">
      <alignment horizontal="center" vertical="center" wrapText="1"/>
    </xf>
    <xf numFmtId="10" fontId="217" fillId="73" borderId="120" xfId="46" applyNumberFormat="1" applyFont="1" applyFill="1" applyBorder="1" applyAlignment="1">
      <alignment horizontal="center" wrapText="1"/>
    </xf>
    <xf numFmtId="0" fontId="213" fillId="56" borderId="122" xfId="37" applyFont="1" applyFill="1" applyBorder="1" applyAlignment="1">
      <alignment horizontal="left"/>
    </xf>
    <xf numFmtId="10" fontId="213" fillId="56" borderId="123" xfId="37" applyNumberFormat="1" applyFont="1" applyFill="1" applyBorder="1" applyAlignment="1">
      <alignment horizontal="left"/>
    </xf>
    <xf numFmtId="0" fontId="215" fillId="56" borderId="122" xfId="37" applyFont="1" applyFill="1" applyBorder="1" applyAlignment="1">
      <alignment wrapText="1"/>
    </xf>
    <xf numFmtId="14" fontId="136" fillId="56" borderId="122" xfId="37" applyNumberFormat="1" applyFont="1" applyFill="1" applyBorder="1" applyAlignment="1">
      <alignment horizontal="center"/>
    </xf>
    <xf numFmtId="2" fontId="136" fillId="56" borderId="122" xfId="37" applyNumberFormat="1" applyFont="1" applyFill="1" applyBorder="1" applyAlignment="1">
      <alignment horizontal="center"/>
    </xf>
    <xf numFmtId="0" fontId="136" fillId="56" borderId="122" xfId="37" applyFont="1" applyFill="1" applyBorder="1"/>
    <xf numFmtId="4" fontId="136" fillId="56" borderId="122" xfId="37" applyNumberFormat="1" applyFont="1" applyFill="1" applyBorder="1" applyAlignment="1">
      <alignment horizontal="center"/>
    </xf>
    <xf numFmtId="10" fontId="136" fillId="56" borderId="122" xfId="37" applyNumberFormat="1" applyFont="1" applyFill="1" applyBorder="1" applyAlignment="1">
      <alignment horizontal="center"/>
    </xf>
    <xf numFmtId="4" fontId="136" fillId="56" borderId="122" xfId="45" applyNumberFormat="1" applyFont="1" applyFill="1" applyBorder="1" applyAlignment="1">
      <alignment horizontal="center" vertical="center"/>
    </xf>
    <xf numFmtId="2" fontId="136" fillId="56" borderId="122" xfId="45" applyNumberFormat="1" applyFont="1" applyFill="1" applyBorder="1" applyAlignment="1">
      <alignment horizontal="center" vertical="center"/>
    </xf>
    <xf numFmtId="2" fontId="207" fillId="0" borderId="120" xfId="3" applyNumberFormat="1" applyFont="1" applyBorder="1" applyAlignment="1">
      <alignment horizontal="left" vertical="center" wrapText="1" shrinkToFit="1"/>
    </xf>
    <xf numFmtId="2" fontId="206" fillId="0" borderId="120" xfId="3" applyNumberFormat="1" applyFont="1" applyBorder="1" applyAlignment="1">
      <alignment horizontal="center" vertical="center" wrapText="1"/>
    </xf>
    <xf numFmtId="2" fontId="203" fillId="0" borderId="120" xfId="47" applyNumberFormat="1" applyFont="1" applyFill="1" applyBorder="1" applyAlignment="1" applyProtection="1">
      <alignment horizontal="center" wrapText="1"/>
    </xf>
    <xf numFmtId="2" fontId="214" fillId="56" borderId="117" xfId="37" applyNumberFormat="1" applyFont="1" applyFill="1" applyBorder="1" applyAlignment="1">
      <alignment horizontal="center" vertical="center" wrapText="1"/>
    </xf>
    <xf numFmtId="10" fontId="214" fillId="56" borderId="129" xfId="37" applyNumberFormat="1" applyFont="1" applyFill="1" applyBorder="1" applyAlignment="1">
      <alignment horizontal="center" vertical="center"/>
    </xf>
    <xf numFmtId="10" fontId="214" fillId="56" borderId="130" xfId="37" applyNumberFormat="1" applyFont="1" applyFill="1" applyBorder="1" applyAlignment="1">
      <alignment vertical="center" wrapText="1"/>
    </xf>
    <xf numFmtId="10" fontId="214" fillId="56" borderId="130" xfId="37" applyNumberFormat="1" applyFont="1" applyFill="1" applyBorder="1" applyAlignment="1">
      <alignment horizontal="center" vertical="center" wrapText="1"/>
    </xf>
    <xf numFmtId="4" fontId="136" fillId="56" borderId="130" xfId="37" applyNumberFormat="1" applyFont="1" applyFill="1" applyBorder="1" applyAlignment="1">
      <alignment horizontal="center" vertical="center" wrapText="1"/>
    </xf>
    <xf numFmtId="2" fontId="214" fillId="56" borderId="130" xfId="37" applyNumberFormat="1" applyFont="1" applyFill="1" applyBorder="1" applyAlignment="1">
      <alignment horizontal="center" vertical="center" wrapText="1"/>
    </xf>
    <xf numFmtId="203" fontId="210" fillId="56" borderId="130" xfId="37" applyNumberFormat="1" applyFont="1" applyFill="1" applyBorder="1" applyAlignment="1">
      <alignment horizontal="center" vertical="center" wrapText="1"/>
    </xf>
    <xf numFmtId="14" fontId="222" fillId="56" borderId="130" xfId="3" applyNumberFormat="1" applyFont="1" applyFill="1" applyBorder="1" applyAlignment="1">
      <alignment horizontal="center"/>
    </xf>
    <xf numFmtId="10" fontId="214" fillId="56" borderId="131" xfId="37" applyNumberFormat="1" applyFont="1" applyFill="1" applyBorder="1" applyAlignment="1">
      <alignment horizontal="center" vertical="center"/>
    </xf>
    <xf numFmtId="10" fontId="214" fillId="56" borderId="132" xfId="37" applyNumberFormat="1" applyFont="1" applyFill="1" applyBorder="1" applyAlignment="1">
      <alignment vertical="center" wrapText="1"/>
    </xf>
    <xf numFmtId="10" fontId="214" fillId="56" borderId="132" xfId="37" applyNumberFormat="1" applyFont="1" applyFill="1" applyBorder="1" applyAlignment="1">
      <alignment horizontal="center" vertical="center" wrapText="1"/>
    </xf>
    <xf numFmtId="4" fontId="136" fillId="56" borderId="132" xfId="37" applyNumberFormat="1" applyFont="1" applyFill="1" applyBorder="1" applyAlignment="1">
      <alignment horizontal="center" vertical="center" wrapText="1"/>
    </xf>
    <xf numFmtId="2" fontId="214" fillId="56" borderId="132" xfId="37" applyNumberFormat="1" applyFont="1" applyFill="1" applyBorder="1" applyAlignment="1">
      <alignment horizontal="center" vertical="center" wrapText="1"/>
    </xf>
    <xf numFmtId="203" fontId="210" fillId="56" borderId="132" xfId="37" applyNumberFormat="1" applyFont="1" applyFill="1" applyBorder="1" applyAlignment="1">
      <alignment horizontal="center" vertical="center" wrapText="1"/>
    </xf>
    <xf numFmtId="14" fontId="222" fillId="56" borderId="132" xfId="3" applyNumberFormat="1" applyFont="1" applyFill="1" applyBorder="1" applyAlignment="1">
      <alignment horizontal="center"/>
    </xf>
    <xf numFmtId="2" fontId="136" fillId="46" borderId="118" xfId="37" applyNumberFormat="1" applyFont="1" applyFill="1" applyBorder="1"/>
    <xf numFmtId="2" fontId="136" fillId="56" borderId="120" xfId="37" applyNumberFormat="1" applyFont="1" applyFill="1" applyBorder="1"/>
    <xf numFmtId="4" fontId="136" fillId="56" borderId="120" xfId="3" applyNumberFormat="1" applyFont="1" applyFill="1" applyBorder="1" applyAlignment="1">
      <alignment horizontal="center" vertical="center"/>
    </xf>
    <xf numFmtId="2" fontId="136" fillId="56" borderId="120" xfId="3" applyNumberFormat="1" applyFont="1" applyFill="1" applyBorder="1" applyAlignment="1">
      <alignment horizontal="center" vertical="center"/>
    </xf>
    <xf numFmtId="2" fontId="139" fillId="73" borderId="134" xfId="3" applyNumberFormat="1" applyFont="1" applyFill="1" applyBorder="1" applyAlignment="1">
      <alignment horizontal="left" vertical="center" wrapText="1" shrinkToFit="1"/>
    </xf>
    <xf numFmtId="2" fontId="139" fillId="73" borderId="120" xfId="3" applyNumberFormat="1" applyFont="1" applyFill="1" applyBorder="1" applyAlignment="1">
      <alignment horizontal="left" vertical="center" wrapText="1" shrinkToFit="1"/>
    </xf>
    <xf numFmtId="14" fontId="139" fillId="73" borderId="120" xfId="3" applyNumberFormat="1" applyFont="1" applyFill="1" applyBorder="1" applyAlignment="1">
      <alignment horizontal="center" vertical="center" wrapText="1" shrinkToFit="1"/>
    </xf>
    <xf numFmtId="2" fontId="139" fillId="73" borderId="120" xfId="3" applyNumberFormat="1" applyFont="1" applyFill="1" applyBorder="1" applyAlignment="1">
      <alignment horizontal="center" vertical="center" wrapText="1" shrinkToFit="1"/>
    </xf>
    <xf numFmtId="2" fontId="139" fillId="73" borderId="120" xfId="3" applyNumberFormat="1" applyFont="1" applyFill="1" applyBorder="1" applyAlignment="1">
      <alignment horizontal="center" vertical="center" wrapText="1"/>
    </xf>
    <xf numFmtId="10" fontId="139" fillId="73" borderId="120" xfId="3" applyNumberFormat="1" applyFont="1" applyFill="1" applyBorder="1" applyAlignment="1">
      <alignment horizontal="center" vertical="center" wrapText="1"/>
    </xf>
    <xf numFmtId="2" fontId="217" fillId="73" borderId="120" xfId="46" applyNumberFormat="1" applyFont="1" applyFill="1" applyBorder="1" applyAlignment="1">
      <alignment horizontal="center" wrapText="1"/>
    </xf>
    <xf numFmtId="0" fontId="213" fillId="56" borderId="135" xfId="37" applyFont="1" applyFill="1" applyBorder="1" applyAlignment="1">
      <alignment horizontal="left"/>
    </xf>
    <xf numFmtId="2" fontId="136" fillId="56" borderId="122" xfId="37" applyNumberFormat="1" applyFont="1" applyFill="1" applyBorder="1"/>
    <xf numFmtId="4" fontId="136" fillId="56" borderId="122" xfId="3" applyNumberFormat="1" applyFont="1" applyFill="1" applyBorder="1" applyAlignment="1">
      <alignment horizontal="center" vertical="center"/>
    </xf>
    <xf numFmtId="2" fontId="136" fillId="56" borderId="122" xfId="3" applyNumberFormat="1" applyFont="1" applyFill="1" applyBorder="1" applyAlignment="1">
      <alignment horizontal="center" vertical="center"/>
    </xf>
    <xf numFmtId="203" fontId="210" fillId="56" borderId="117" xfId="37" applyNumberFormat="1" applyFont="1" applyFill="1" applyBorder="1" applyAlignment="1">
      <alignment vertical="center" wrapText="1"/>
    </xf>
    <xf numFmtId="178" fontId="136" fillId="56" borderId="130" xfId="37" applyNumberFormat="1" applyFont="1" applyFill="1" applyBorder="1" applyAlignment="1">
      <alignment vertical="center" wrapText="1"/>
    </xf>
    <xf numFmtId="178" fontId="136" fillId="56" borderId="130" xfId="37" applyNumberFormat="1" applyFont="1" applyFill="1" applyBorder="1" applyAlignment="1">
      <alignment horizontal="center" vertical="center" wrapText="1"/>
    </xf>
    <xf numFmtId="203" fontId="210" fillId="56" borderId="130" xfId="37" applyNumberFormat="1" applyFont="1" applyFill="1" applyBorder="1" applyAlignment="1">
      <alignment vertical="center" wrapText="1"/>
    </xf>
    <xf numFmtId="178" fontId="136" fillId="56" borderId="132" xfId="37" applyNumberFormat="1" applyFont="1" applyFill="1" applyBorder="1" applyAlignment="1">
      <alignment vertical="center" wrapText="1"/>
    </xf>
    <xf numFmtId="178" fontId="136" fillId="56" borderId="132" xfId="37" applyNumberFormat="1" applyFont="1" applyFill="1" applyBorder="1" applyAlignment="1">
      <alignment horizontal="center" vertical="center" wrapText="1"/>
    </xf>
    <xf numFmtId="203" fontId="210" fillId="56" borderId="132" xfId="37" applyNumberFormat="1" applyFont="1" applyFill="1" applyBorder="1" applyAlignment="1">
      <alignment vertical="center" wrapText="1"/>
    </xf>
    <xf numFmtId="178" fontId="136" fillId="46" borderId="122" xfId="37" applyNumberFormat="1" applyFont="1" applyFill="1" applyBorder="1" applyAlignment="1">
      <alignment horizontal="center"/>
    </xf>
    <xf numFmtId="178" fontId="136" fillId="56" borderId="125" xfId="37" applyNumberFormat="1" applyFont="1" applyFill="1" applyBorder="1" applyAlignment="1">
      <alignment horizontal="center"/>
    </xf>
    <xf numFmtId="178" fontId="136" fillId="56" borderId="124" xfId="37" applyNumberFormat="1" applyFont="1" applyFill="1" applyBorder="1" applyAlignment="1">
      <alignment horizontal="center"/>
    </xf>
    <xf numFmtId="0" fontId="223" fillId="56" borderId="0" xfId="37" applyFont="1" applyFill="1" applyAlignment="1">
      <alignment horizontal="left"/>
    </xf>
    <xf numFmtId="0" fontId="220" fillId="56" borderId="0" xfId="37" applyFont="1" applyFill="1"/>
    <xf numFmtId="4" fontId="220" fillId="56" borderId="0" xfId="37" applyNumberFormat="1" applyFont="1" applyFill="1"/>
    <xf numFmtId="0" fontId="137" fillId="50" borderId="0" xfId="0" applyFont="1" applyFill="1" applyAlignment="1">
      <alignment horizontal="center" wrapText="1"/>
    </xf>
    <xf numFmtId="0" fontId="224" fillId="0" borderId="36" xfId="55" applyFont="1" applyBorder="1" applyAlignment="1">
      <alignment wrapText="1"/>
    </xf>
    <xf numFmtId="0" fontId="224" fillId="0" borderId="0" xfId="55" applyFont="1" applyAlignment="1">
      <alignment wrapText="1"/>
    </xf>
    <xf numFmtId="0" fontId="224" fillId="0" borderId="39" xfId="55" applyFont="1" applyBorder="1" applyAlignment="1">
      <alignment wrapText="1"/>
    </xf>
    <xf numFmtId="0" fontId="225" fillId="0" borderId="39" xfId="55" applyFont="1" applyBorder="1"/>
    <xf numFmtId="0" fontId="200" fillId="0" borderId="39" xfId="55" applyFont="1" applyBorder="1"/>
    <xf numFmtId="1" fontId="183" fillId="6" borderId="130" xfId="50" applyNumberFormat="1" applyFont="1" applyFill="1" applyBorder="1" applyAlignment="1">
      <alignment horizontal="center" vertical="center"/>
    </xf>
    <xf numFmtId="209" fontId="220" fillId="56" borderId="0" xfId="37" applyNumberFormat="1" applyFont="1" applyFill="1"/>
    <xf numFmtId="180" fontId="136" fillId="56" borderId="120" xfId="3" applyNumberFormat="1" applyFont="1" applyFill="1" applyBorder="1" applyAlignment="1">
      <alignment horizontal="center" vertical="center"/>
    </xf>
    <xf numFmtId="0" fontId="226" fillId="0" borderId="134" xfId="37" applyFont="1" applyBorder="1" applyAlignment="1">
      <alignment horizontal="left"/>
    </xf>
    <xf numFmtId="0" fontId="226" fillId="0" borderId="120" xfId="37" applyFont="1" applyBorder="1" applyAlignment="1">
      <alignment horizontal="left"/>
    </xf>
    <xf numFmtId="0" fontId="227" fillId="0" borderId="120" xfId="37" applyFont="1" applyBorder="1"/>
    <xf numFmtId="178" fontId="228" fillId="0" borderId="125" xfId="37" applyNumberFormat="1" applyFont="1" applyBorder="1" applyAlignment="1">
      <alignment horizontal="center"/>
    </xf>
    <xf numFmtId="178" fontId="228" fillId="0" borderId="124" xfId="37" applyNumberFormat="1" applyFont="1" applyBorder="1" applyAlignment="1">
      <alignment horizontal="center"/>
    </xf>
    <xf numFmtId="4" fontId="228" fillId="0" borderId="120" xfId="3" applyNumberFormat="1" applyFont="1" applyBorder="1" applyAlignment="1">
      <alignment horizontal="center" vertical="center"/>
    </xf>
    <xf numFmtId="180" fontId="228" fillId="0" borderId="120" xfId="3" applyNumberFormat="1" applyFont="1" applyBorder="1" applyAlignment="1">
      <alignment horizontal="center" vertical="center"/>
    </xf>
    <xf numFmtId="0" fontId="229" fillId="73" borderId="134" xfId="37" applyFont="1" applyFill="1" applyBorder="1" applyAlignment="1">
      <alignment horizontal="left"/>
    </xf>
    <xf numFmtId="0" fontId="229" fillId="73" borderId="120" xfId="37" applyFont="1" applyFill="1" applyBorder="1" applyAlignment="1">
      <alignment horizontal="left"/>
    </xf>
    <xf numFmtId="0" fontId="230" fillId="73" borderId="120" xfId="37" applyFont="1" applyFill="1" applyBorder="1"/>
    <xf numFmtId="178" fontId="231" fillId="73" borderId="125" xfId="37" applyNumberFormat="1" applyFont="1" applyFill="1" applyBorder="1" applyAlignment="1">
      <alignment horizontal="center"/>
    </xf>
    <xf numFmtId="178" fontId="231" fillId="73" borderId="124" xfId="37" applyNumberFormat="1" applyFont="1" applyFill="1" applyBorder="1" applyAlignment="1">
      <alignment horizontal="center"/>
    </xf>
    <xf numFmtId="4" fontId="231" fillId="73" borderId="120" xfId="3" applyNumberFormat="1" applyFont="1" applyFill="1" applyBorder="1" applyAlignment="1">
      <alignment horizontal="center" vertical="center"/>
    </xf>
    <xf numFmtId="180" fontId="231" fillId="73" borderId="120" xfId="3" applyNumberFormat="1" applyFont="1" applyFill="1" applyBorder="1" applyAlignment="1">
      <alignment horizontal="center" vertical="center"/>
    </xf>
    <xf numFmtId="0" fontId="1" fillId="0" borderId="0" xfId="51"/>
    <xf numFmtId="199" fontId="144" fillId="0" borderId="108" xfId="51" applyNumberFormat="1" applyFont="1" applyBorder="1"/>
    <xf numFmtId="199" fontId="144" fillId="0" borderId="108" xfId="51" applyNumberFormat="1" applyFont="1" applyBorder="1" applyAlignment="1">
      <alignment horizontal="center" vertical="center"/>
    </xf>
    <xf numFmtId="199" fontId="1" fillId="0" borderId="0" xfId="51" applyNumberFormat="1"/>
    <xf numFmtId="0" fontId="1" fillId="23" borderId="39" xfId="51" applyFill="1" applyBorder="1" applyAlignment="1">
      <alignment horizontal="center"/>
    </xf>
    <xf numFmtId="0" fontId="145" fillId="23" borderId="40" xfId="51" applyFont="1" applyFill="1" applyBorder="1" applyAlignment="1">
      <alignment horizontal="center"/>
    </xf>
    <xf numFmtId="0" fontId="146" fillId="23" borderId="39" xfId="51" applyFont="1" applyFill="1" applyBorder="1" applyAlignment="1">
      <alignment horizontal="right"/>
    </xf>
    <xf numFmtId="0" fontId="146" fillId="23" borderId="0" xfId="51" applyFont="1" applyFill="1" applyAlignment="1">
      <alignment horizontal="right"/>
    </xf>
    <xf numFmtId="0" fontId="66" fillId="23" borderId="0" xfId="51" applyFont="1" applyFill="1" applyAlignment="1">
      <alignment horizontal="left"/>
    </xf>
    <xf numFmtId="0" fontId="147" fillId="23" borderId="0" xfId="51" applyFont="1" applyFill="1" applyAlignment="1">
      <alignment vertical="top" wrapText="1"/>
    </xf>
    <xf numFmtId="0" fontId="1" fillId="23" borderId="40" xfId="51" applyFill="1" applyBorder="1"/>
    <xf numFmtId="199" fontId="144" fillId="23" borderId="108" xfId="51" applyNumberFormat="1" applyFont="1" applyFill="1" applyBorder="1" applyAlignment="1">
      <alignment horizontal="center" vertical="center"/>
    </xf>
    <xf numFmtId="0" fontId="66" fillId="23" borderId="0" xfId="51" applyFont="1" applyFill="1"/>
    <xf numFmtId="199" fontId="144" fillId="0" borderId="108" xfId="51" applyNumberFormat="1" applyFont="1" applyBorder="1" applyAlignment="1">
      <alignment horizontal="center"/>
    </xf>
    <xf numFmtId="0" fontId="1" fillId="23" borderId="39" xfId="51" applyFill="1" applyBorder="1" applyAlignment="1">
      <alignment horizontal="right"/>
    </xf>
    <xf numFmtId="0" fontId="1" fillId="23" borderId="0" xfId="51" applyFill="1" applyAlignment="1">
      <alignment horizontal="right"/>
    </xf>
    <xf numFmtId="0" fontId="1" fillId="23" borderId="0" xfId="51" applyFill="1" applyAlignment="1">
      <alignment horizontal="left"/>
    </xf>
    <xf numFmtId="0" fontId="66" fillId="23" borderId="0" xfId="51" applyFont="1" applyFill="1" applyAlignment="1">
      <alignment horizontal="right"/>
    </xf>
    <xf numFmtId="14" fontId="66" fillId="23" borderId="0" xfId="51" applyNumberFormat="1" applyFont="1" applyFill="1" applyAlignment="1">
      <alignment horizontal="left"/>
    </xf>
    <xf numFmtId="0" fontId="66" fillId="23" borderId="0" xfId="51" applyFont="1" applyFill="1" applyAlignment="1">
      <alignment horizontal="center"/>
    </xf>
    <xf numFmtId="0" fontId="66" fillId="23" borderId="39" xfId="51" applyFont="1" applyFill="1" applyBorder="1"/>
    <xf numFmtId="15" fontId="150" fillId="0" borderId="130" xfId="38" applyNumberFormat="1" applyFont="1" applyBorder="1" applyAlignment="1">
      <alignment horizontal="center" vertical="center"/>
    </xf>
    <xf numFmtId="0" fontId="150" fillId="0" borderId="130" xfId="38" applyFont="1" applyBorder="1" applyAlignment="1">
      <alignment horizontal="center" vertical="center"/>
    </xf>
    <xf numFmtId="0" fontId="1" fillId="23" borderId="39" xfId="51" applyFill="1" applyBorder="1"/>
    <xf numFmtId="0" fontId="151" fillId="0" borderId="130" xfId="38" applyFont="1" applyBorder="1" applyAlignment="1">
      <alignment horizontal="center" vertical="center"/>
    </xf>
    <xf numFmtId="0" fontId="151" fillId="0" borderId="130" xfId="38" applyFont="1" applyBorder="1" applyAlignment="1">
      <alignment horizontal="center" vertical="center" wrapText="1"/>
    </xf>
    <xf numFmtId="0" fontId="1" fillId="23" borderId="41" xfId="51" applyFill="1" applyBorder="1"/>
    <xf numFmtId="0" fontId="1" fillId="23" borderId="42" xfId="51" applyFill="1" applyBorder="1"/>
    <xf numFmtId="0" fontId="1" fillId="23" borderId="43" xfId="51" applyFill="1" applyBorder="1"/>
    <xf numFmtId="0" fontId="70" fillId="23" borderId="0" xfId="45" applyFont="1" applyFill="1" applyAlignment="1">
      <alignment horizontal="centerContinuous" vertical="center"/>
    </xf>
    <xf numFmtId="0" fontId="70" fillId="23" borderId="0" xfId="45" applyFont="1" applyFill="1" applyAlignment="1">
      <alignment horizontal="center" vertical="center"/>
    </xf>
    <xf numFmtId="10" fontId="70" fillId="23" borderId="0" xfId="56" applyNumberFormat="1" applyFont="1" applyFill="1" applyAlignment="1">
      <alignment horizontal="centerContinuous" vertical="center"/>
    </xf>
    <xf numFmtId="4" fontId="58" fillId="23" borderId="0" xfId="45" applyNumberFormat="1" applyFont="1" applyFill="1" applyAlignment="1">
      <alignment horizontal="center" vertical="center"/>
    </xf>
    <xf numFmtId="0" fontId="1" fillId="23" borderId="0" xfId="51" applyFill="1" applyAlignment="1">
      <alignment vertical="center"/>
    </xf>
    <xf numFmtId="0" fontId="232" fillId="23" borderId="0" xfId="39" applyFont="1" applyFill="1" applyAlignment="1">
      <alignment horizontal="centerContinuous" vertical="center"/>
    </xf>
    <xf numFmtId="0" fontId="1" fillId="23" borderId="0" xfId="51" applyFill="1" applyAlignment="1">
      <alignment vertical="center" wrapText="1"/>
    </xf>
    <xf numFmtId="0" fontId="1" fillId="0" borderId="0" xfId="51" applyAlignment="1">
      <alignment vertical="center"/>
    </xf>
    <xf numFmtId="0" fontId="232" fillId="23" borderId="0" xfId="39" applyFont="1" applyFill="1" applyAlignment="1">
      <alignment horizontal="left" vertical="top"/>
    </xf>
    <xf numFmtId="0" fontId="70" fillId="23" borderId="0" xfId="45" applyFont="1" applyFill="1" applyAlignment="1">
      <alignment horizontal="left" vertical="top"/>
    </xf>
    <xf numFmtId="0" fontId="70" fillId="23" borderId="0" xfId="45" applyFont="1" applyFill="1" applyAlignment="1">
      <alignment horizontal="center" vertical="center" wrapText="1"/>
    </xf>
    <xf numFmtId="2" fontId="70" fillId="23" borderId="0" xfId="45" applyNumberFormat="1" applyFont="1" applyFill="1" applyAlignment="1">
      <alignment horizontal="centerContinuous" vertical="center"/>
    </xf>
    <xf numFmtId="1" fontId="70" fillId="23" borderId="0" xfId="45" applyNumberFormat="1" applyFont="1" applyFill="1" applyAlignment="1">
      <alignment horizontal="centerContinuous" vertical="center"/>
    </xf>
    <xf numFmtId="169" fontId="70" fillId="23" borderId="0" xfId="45" applyNumberFormat="1" applyFont="1" applyFill="1" applyAlignment="1">
      <alignment horizontal="left" vertical="top"/>
    </xf>
    <xf numFmtId="10" fontId="70" fillId="23" borderId="0" xfId="45" applyNumberFormat="1" applyFont="1" applyFill="1" applyAlignment="1">
      <alignment horizontal="centerContinuous" vertical="center"/>
    </xf>
    <xf numFmtId="169" fontId="70" fillId="23" borderId="0" xfId="45" applyNumberFormat="1" applyFont="1" applyFill="1" applyAlignment="1">
      <alignment horizontal="centerContinuous" vertical="center"/>
    </xf>
    <xf numFmtId="199" fontId="70" fillId="23" borderId="0" xfId="45" applyNumberFormat="1" applyFont="1" applyFill="1" applyAlignment="1">
      <alignment horizontal="center" vertical="center"/>
    </xf>
    <xf numFmtId="0" fontId="70" fillId="23" borderId="130" xfId="45" applyFont="1" applyFill="1" applyBorder="1" applyAlignment="1">
      <alignment horizontal="center" vertical="center" wrapText="1"/>
    </xf>
    <xf numFmtId="4" fontId="70" fillId="23" borderId="130" xfId="45" applyNumberFormat="1" applyFont="1" applyFill="1" applyBorder="1" applyAlignment="1">
      <alignment horizontal="center" vertical="center" wrapText="1"/>
    </xf>
    <xf numFmtId="0" fontId="70" fillId="23" borderId="130" xfId="45" applyFont="1" applyFill="1" applyBorder="1" applyAlignment="1">
      <alignment horizontal="centerContinuous" vertical="center"/>
    </xf>
    <xf numFmtId="4" fontId="70" fillId="23" borderId="130" xfId="45" applyNumberFormat="1" applyFont="1" applyFill="1" applyBorder="1" applyAlignment="1">
      <alignment horizontal="center" vertical="center"/>
    </xf>
    <xf numFmtId="0" fontId="73" fillId="0" borderId="0" xfId="51" applyFont="1" applyAlignment="1">
      <alignment vertical="center"/>
    </xf>
    <xf numFmtId="0" fontId="73" fillId="0" borderId="0" xfId="51" applyFont="1" applyAlignment="1">
      <alignment vertical="center" wrapText="1"/>
    </xf>
    <xf numFmtId="4" fontId="58" fillId="23" borderId="130" xfId="45" applyNumberFormat="1" applyFont="1" applyFill="1" applyBorder="1" applyAlignment="1">
      <alignment horizontal="center" vertical="center"/>
    </xf>
    <xf numFmtId="0" fontId="51" fillId="0" borderId="138" xfId="45" applyFont="1" applyBorder="1" applyAlignment="1">
      <alignment horizontal="center" vertical="center"/>
    </xf>
    <xf numFmtId="4" fontId="174" fillId="0" borderId="138" xfId="45" applyNumberFormat="1" applyFont="1" applyBorder="1" applyAlignment="1">
      <alignment horizontal="center" vertical="center"/>
    </xf>
    <xf numFmtId="0" fontId="152" fillId="0" borderId="75" xfId="45" applyFont="1" applyBorder="1" applyAlignment="1">
      <alignment horizontal="center" vertical="center"/>
    </xf>
    <xf numFmtId="0" fontId="152" fillId="0" borderId="113" xfId="45" applyFont="1" applyBorder="1" applyAlignment="1">
      <alignment horizontal="center" vertical="center"/>
    </xf>
    <xf numFmtId="0" fontId="177" fillId="0" borderId="105" xfId="45" applyFont="1" applyBorder="1" applyAlignment="1">
      <alignment horizontal="center" vertical="center"/>
    </xf>
    <xf numFmtId="211" fontId="9" fillId="0" borderId="75" xfId="45" applyNumberFormat="1" applyFont="1" applyBorder="1" applyAlignment="1">
      <alignment horizontal="center" vertical="center" wrapText="1"/>
    </xf>
    <xf numFmtId="0" fontId="9" fillId="0" borderId="107" xfId="45" applyFont="1" applyBorder="1" applyAlignment="1">
      <alignment horizontal="center" vertical="center" wrapText="1"/>
    </xf>
    <xf numFmtId="211" fontId="9" fillId="0" borderId="106" xfId="45" applyNumberFormat="1" applyFont="1" applyBorder="1" applyAlignment="1">
      <alignment horizontal="center" vertical="center" wrapText="1"/>
    </xf>
    <xf numFmtId="0" fontId="177" fillId="0" borderId="36" xfId="45" applyFont="1" applyBorder="1" applyAlignment="1">
      <alignment horizontal="center" vertical="center" wrapText="1"/>
    </xf>
    <xf numFmtId="10" fontId="9" fillId="0" borderId="113" xfId="56" applyNumberFormat="1" applyFont="1" applyBorder="1" applyAlignment="1">
      <alignment horizontal="center" vertical="center" wrapText="1"/>
    </xf>
    <xf numFmtId="0" fontId="177" fillId="0" borderId="113" xfId="45" applyFont="1" applyBorder="1" applyAlignment="1">
      <alignment horizontal="center" vertical="center"/>
    </xf>
    <xf numFmtId="0" fontId="177" fillId="0" borderId="105" xfId="45" applyFont="1" applyBorder="1" applyAlignment="1">
      <alignment horizontal="center" vertical="center" wrapText="1"/>
    </xf>
    <xf numFmtId="0" fontId="9" fillId="0" borderId="106" xfId="45" applyFont="1" applyBorder="1" applyAlignment="1">
      <alignment horizontal="center" vertical="center"/>
    </xf>
    <xf numFmtId="0" fontId="9" fillId="0" borderId="105" xfId="45" applyFont="1" applyBorder="1" applyAlignment="1">
      <alignment horizontal="center" vertical="center"/>
    </xf>
    <xf numFmtId="15" fontId="51" fillId="0" borderId="117" xfId="45" applyNumberFormat="1" applyFont="1" applyBorder="1" applyAlignment="1">
      <alignment horizontal="center" vertical="center" textRotation="90"/>
    </xf>
    <xf numFmtId="0" fontId="9" fillId="0" borderId="117" xfId="45" applyFont="1" applyBorder="1" applyAlignment="1">
      <alignment horizontal="center" vertical="center" wrapText="1"/>
    </xf>
    <xf numFmtId="4" fontId="58" fillId="0" borderId="117" xfId="45" applyNumberFormat="1" applyFont="1" applyBorder="1" applyAlignment="1">
      <alignment horizontal="center" vertical="center" wrapText="1"/>
    </xf>
    <xf numFmtId="0" fontId="51" fillId="0" borderId="117" xfId="45" applyFont="1" applyBorder="1" applyAlignment="1">
      <alignment horizontal="center" vertical="center" wrapText="1"/>
    </xf>
    <xf numFmtId="0" fontId="51" fillId="0" borderId="117" xfId="45" applyFont="1" applyBorder="1" applyAlignment="1">
      <alignment horizontal="center" vertical="center"/>
    </xf>
    <xf numFmtId="0" fontId="66" fillId="0" borderId="0" xfId="51" applyFont="1" applyAlignment="1">
      <alignment horizontal="center" vertical="center"/>
    </xf>
    <xf numFmtId="2" fontId="173" fillId="12" borderId="38" xfId="45" applyNumberFormat="1" applyFont="1" applyFill="1" applyBorder="1" applyAlignment="1">
      <alignment horizontal="center" vertical="center"/>
    </xf>
    <xf numFmtId="2" fontId="173" fillId="12" borderId="37" xfId="45" applyNumberFormat="1" applyFont="1" applyFill="1" applyBorder="1" applyAlignment="1">
      <alignment horizontal="center" vertical="center"/>
    </xf>
    <xf numFmtId="175" fontId="73" fillId="23" borderId="130" xfId="51" applyNumberFormat="1" applyFont="1" applyFill="1" applyBorder="1" applyAlignment="1">
      <alignment horizontal="center" vertical="center"/>
    </xf>
    <xf numFmtId="10" fontId="235" fillId="38" borderId="130" xfId="57" applyNumberFormat="1" applyFont="1" applyFill="1" applyBorder="1" applyAlignment="1">
      <alignment horizontal="center" vertical="center"/>
    </xf>
    <xf numFmtId="43" fontId="50" fillId="38" borderId="130" xfId="57" applyFont="1" applyFill="1" applyBorder="1" applyAlignment="1">
      <alignment horizontal="center" vertical="center"/>
    </xf>
    <xf numFmtId="10" fontId="235" fillId="38" borderId="130" xfId="56" applyNumberFormat="1" applyFont="1" applyFill="1" applyBorder="1" applyAlignment="1">
      <alignment horizontal="center" vertical="center"/>
    </xf>
    <xf numFmtId="43" fontId="173" fillId="75" borderId="130" xfId="58" applyFont="1" applyFill="1" applyBorder="1" applyAlignment="1">
      <alignment horizontal="left" vertical="center" wrapText="1"/>
    </xf>
    <xf numFmtId="10" fontId="235" fillId="75" borderId="130" xfId="58" applyNumberFormat="1" applyFont="1" applyFill="1" applyBorder="1" applyAlignment="1">
      <alignment horizontal="center" vertical="center" wrapText="1"/>
    </xf>
    <xf numFmtId="175" fontId="73" fillId="23" borderId="132" xfId="51" applyNumberFormat="1" applyFont="1" applyFill="1" applyBorder="1" applyAlignment="1">
      <alignment horizontal="center" vertical="center"/>
    </xf>
    <xf numFmtId="10" fontId="235" fillId="75" borderId="132" xfId="58" applyNumberFormat="1" applyFont="1" applyFill="1" applyBorder="1" applyAlignment="1">
      <alignment horizontal="center" vertical="center" wrapText="1"/>
    </xf>
    <xf numFmtId="0" fontId="51" fillId="0" borderId="132" xfId="45" applyFont="1" applyBorder="1" applyAlignment="1">
      <alignment horizontal="center" vertical="center"/>
    </xf>
    <xf numFmtId="10" fontId="0" fillId="0" borderId="0" xfId="56" applyNumberFormat="1" applyFont="1"/>
    <xf numFmtId="4" fontId="174" fillId="0" borderId="0" xfId="51" applyNumberFormat="1" applyFont="1" applyAlignment="1">
      <alignment horizontal="center" vertical="center"/>
    </xf>
    <xf numFmtId="0" fontId="1" fillId="0" borderId="0" xfId="51" applyAlignment="1">
      <alignment horizontal="center"/>
    </xf>
    <xf numFmtId="175" fontId="73" fillId="23" borderId="0" xfId="51" applyNumberFormat="1" applyFont="1" applyFill="1" applyAlignment="1">
      <alignment horizontal="center"/>
    </xf>
    <xf numFmtId="175" fontId="73" fillId="23" borderId="0" xfId="51" applyNumberFormat="1" applyFont="1" applyFill="1" applyAlignment="1">
      <alignment horizontal="right"/>
    </xf>
    <xf numFmtId="10" fontId="0" fillId="0" borderId="0" xfId="56" applyNumberFormat="1" applyFont="1" applyAlignment="1">
      <alignment vertical="center"/>
    </xf>
    <xf numFmtId="0" fontId="73" fillId="0" borderId="0" xfId="51" applyFont="1"/>
    <xf numFmtId="0" fontId="177" fillId="77" borderId="0" xfId="45" applyFont="1" applyFill="1" applyAlignment="1">
      <alignment horizontal="center" vertical="center" wrapText="1"/>
    </xf>
    <xf numFmtId="0" fontId="177" fillId="77" borderId="0" xfId="45" applyFont="1" applyFill="1" applyAlignment="1">
      <alignment horizontal="right" vertical="center" wrapText="1"/>
    </xf>
    <xf numFmtId="10" fontId="177" fillId="77" borderId="0" xfId="45" applyNumberFormat="1" applyFont="1" applyFill="1" applyAlignment="1">
      <alignment horizontal="center" vertical="center" wrapText="1"/>
    </xf>
    <xf numFmtId="0" fontId="51" fillId="0" borderId="0" xfId="45" applyFont="1" applyAlignment="1">
      <alignment vertical="center"/>
    </xf>
    <xf numFmtId="0" fontId="51" fillId="0" borderId="0" xfId="45" applyFont="1" applyAlignment="1">
      <alignment horizontal="center" vertical="center"/>
    </xf>
    <xf numFmtId="0" fontId="51" fillId="0" borderId="0" xfId="45" applyFont="1" applyAlignment="1">
      <alignment vertical="center" wrapText="1"/>
    </xf>
    <xf numFmtId="0" fontId="177" fillId="0" borderId="0" xfId="45" applyFont="1" applyAlignment="1">
      <alignment horizontal="center" vertical="center" wrapText="1"/>
    </xf>
    <xf numFmtId="0" fontId="177" fillId="0" borderId="0" xfId="45" applyFont="1" applyAlignment="1">
      <alignment horizontal="right" vertical="center" wrapText="1"/>
    </xf>
    <xf numFmtId="10" fontId="177" fillId="0" borderId="0" xfId="45" applyNumberFormat="1" applyFont="1" applyAlignment="1">
      <alignment horizontal="center" vertical="center" wrapText="1"/>
    </xf>
    <xf numFmtId="0" fontId="51" fillId="0" borderId="0" xfId="45" applyFont="1" applyAlignment="1">
      <alignment horizontal="center" vertical="center" wrapText="1"/>
    </xf>
    <xf numFmtId="0" fontId="51" fillId="0" borderId="0" xfId="45" applyFont="1" applyAlignment="1">
      <alignment horizontal="right" vertical="center" wrapText="1"/>
    </xf>
    <xf numFmtId="10" fontId="51" fillId="0" borderId="0" xfId="45" applyNumberFormat="1" applyFont="1" applyAlignment="1">
      <alignment horizontal="center" vertical="center"/>
    </xf>
    <xf numFmtId="212" fontId="51" fillId="78" borderId="38" xfId="59" applyNumberFormat="1" applyFont="1" applyFill="1" applyBorder="1" applyAlignment="1">
      <alignment horizontal="center" vertical="center"/>
    </xf>
    <xf numFmtId="212" fontId="51" fillId="78" borderId="105" xfId="59" applyNumberFormat="1" applyFont="1" applyFill="1" applyBorder="1" applyAlignment="1">
      <alignment horizontal="center" vertical="center"/>
    </xf>
    <xf numFmtId="212" fontId="51" fillId="78" borderId="107" xfId="59" applyNumberFormat="1" applyFont="1" applyFill="1" applyBorder="1" applyAlignment="1">
      <alignment horizontal="center" vertical="center"/>
    </xf>
    <xf numFmtId="212" fontId="51" fillId="78" borderId="40" xfId="59" applyNumberFormat="1" applyFont="1" applyFill="1" applyBorder="1" applyAlignment="1">
      <alignment horizontal="center" vertical="center"/>
    </xf>
    <xf numFmtId="212" fontId="51" fillId="78" borderId="0" xfId="59" applyNumberFormat="1" applyFont="1" applyFill="1" applyBorder="1" applyAlignment="1">
      <alignment horizontal="center" vertical="center"/>
    </xf>
    <xf numFmtId="0" fontId="177" fillId="0" borderId="0" xfId="45" applyFont="1" applyAlignment="1">
      <alignment horizontal="center" vertical="center"/>
    </xf>
    <xf numFmtId="10" fontId="177" fillId="0" borderId="0" xfId="45" applyNumberFormat="1" applyFont="1" applyAlignment="1">
      <alignment horizontal="center" vertical="center"/>
    </xf>
    <xf numFmtId="0" fontId="51" fillId="0" borderId="131" xfId="45" applyFont="1" applyBorder="1" applyAlignment="1">
      <alignment horizontal="center" vertical="center"/>
    </xf>
    <xf numFmtId="0" fontId="51" fillId="0" borderId="161" xfId="45" applyFont="1" applyBorder="1" applyAlignment="1">
      <alignment horizontal="center" vertical="center"/>
    </xf>
    <xf numFmtId="212" fontId="51" fillId="78" borderId="164" xfId="59" applyNumberFormat="1" applyFont="1" applyFill="1" applyBorder="1" applyAlignment="1">
      <alignment horizontal="center" vertical="center" textRotation="90"/>
    </xf>
    <xf numFmtId="212" fontId="51" fillId="78" borderId="165" xfId="59" applyNumberFormat="1" applyFont="1" applyFill="1" applyBorder="1" applyAlignment="1">
      <alignment horizontal="center" vertical="center" textRotation="90"/>
    </xf>
    <xf numFmtId="0" fontId="51" fillId="0" borderId="166" xfId="45" applyFont="1" applyBorder="1" applyAlignment="1">
      <alignment horizontal="center" vertical="center"/>
    </xf>
    <xf numFmtId="0" fontId="51" fillId="0" borderId="167" xfId="45" applyFont="1" applyBorder="1" applyAlignment="1">
      <alignment horizontal="center" vertical="center"/>
    </xf>
    <xf numFmtId="0" fontId="51" fillId="0" borderId="168" xfId="45" applyFont="1" applyBorder="1" applyAlignment="1">
      <alignment horizontal="center" vertical="center"/>
    </xf>
    <xf numFmtId="212" fontId="51" fillId="78" borderId="169" xfId="59" applyNumberFormat="1" applyFont="1" applyFill="1" applyBorder="1" applyAlignment="1">
      <alignment horizontal="center" vertical="center" textRotation="90"/>
    </xf>
    <xf numFmtId="0" fontId="53" fillId="79" borderId="44" xfId="45" applyFont="1" applyFill="1" applyBorder="1" applyAlignment="1">
      <alignment horizontal="center" vertical="center"/>
    </xf>
    <xf numFmtId="0" fontId="53" fillId="79" borderId="155" xfId="45" applyFont="1" applyFill="1" applyBorder="1" applyAlignment="1">
      <alignment horizontal="center" vertical="center"/>
    </xf>
    <xf numFmtId="0" fontId="53" fillId="79" borderId="47" xfId="45" applyFont="1" applyFill="1" applyBorder="1" applyAlignment="1">
      <alignment horizontal="center" vertical="center"/>
    </xf>
    <xf numFmtId="15" fontId="51" fillId="0" borderId="170" xfId="45" applyNumberFormat="1" applyFont="1" applyBorder="1" applyAlignment="1">
      <alignment horizontal="center" vertical="center" textRotation="90"/>
    </xf>
    <xf numFmtId="15" fontId="51" fillId="0" borderId="171" xfId="45" applyNumberFormat="1" applyFont="1" applyBorder="1" applyAlignment="1">
      <alignment horizontal="center" vertical="center" textRotation="90"/>
    </xf>
    <xf numFmtId="212" fontId="177" fillId="78" borderId="172" xfId="59" applyNumberFormat="1" applyFont="1" applyFill="1" applyBorder="1" applyAlignment="1">
      <alignment horizontal="center" vertical="center" textRotation="90" wrapText="1"/>
    </xf>
    <xf numFmtId="15" fontId="51" fillId="0" borderId="173" xfId="45" applyNumberFormat="1" applyFont="1" applyBorder="1" applyAlignment="1">
      <alignment horizontal="center" vertical="center" textRotation="90"/>
    </xf>
    <xf numFmtId="215" fontId="53" fillId="81" borderId="155" xfId="45" applyNumberFormat="1" applyFont="1" applyFill="1" applyBorder="1" applyAlignment="1">
      <alignment horizontal="center" vertical="center" textRotation="90"/>
    </xf>
    <xf numFmtId="3" fontId="51" fillId="0" borderId="0" xfId="45" applyNumberFormat="1" applyFont="1" applyAlignment="1">
      <alignment vertical="center"/>
    </xf>
    <xf numFmtId="10" fontId="237" fillId="12" borderId="118" xfId="51" applyNumberFormat="1" applyFont="1" applyFill="1" applyBorder="1"/>
    <xf numFmtId="175" fontId="73" fillId="23" borderId="130" xfId="51" applyNumberFormat="1" applyFont="1" applyFill="1" applyBorder="1" applyAlignment="1">
      <alignment horizontal="center" vertical="center" wrapText="1"/>
    </xf>
    <xf numFmtId="175" fontId="73" fillId="23" borderId="130" xfId="51" applyNumberFormat="1" applyFont="1" applyFill="1" applyBorder="1" applyAlignment="1">
      <alignment horizontal="left" vertical="top" wrapText="1"/>
    </xf>
    <xf numFmtId="175" fontId="73" fillId="23" borderId="132" xfId="51" applyNumberFormat="1" applyFont="1" applyFill="1" applyBorder="1" applyAlignment="1">
      <alignment horizontal="left" vertical="top" wrapText="1"/>
    </xf>
    <xf numFmtId="10" fontId="235" fillId="75" borderId="0" xfId="58" applyNumberFormat="1" applyFont="1" applyFill="1" applyBorder="1" applyAlignment="1">
      <alignment horizontal="center" vertical="center" wrapText="1"/>
    </xf>
    <xf numFmtId="175" fontId="73" fillId="23" borderId="0" xfId="51" applyNumberFormat="1" applyFont="1" applyFill="1" applyAlignment="1">
      <alignment horizontal="center" vertical="center"/>
    </xf>
    <xf numFmtId="175" fontId="73" fillId="23" borderId="0" xfId="51" applyNumberFormat="1" applyFont="1" applyFill="1" applyAlignment="1">
      <alignment horizontal="left" vertical="top" wrapText="1"/>
    </xf>
    <xf numFmtId="0" fontId="238" fillId="0" borderId="0" xfId="51" applyFont="1"/>
    <xf numFmtId="0" fontId="79" fillId="0" borderId="0" xfId="51" applyFont="1"/>
    <xf numFmtId="0" fontId="239" fillId="23" borderId="0" xfId="60" applyFont="1" applyFill="1"/>
    <xf numFmtId="0" fontId="240" fillId="23" borderId="0" xfId="45" applyFont="1" applyFill="1" applyAlignment="1">
      <alignment vertical="center"/>
    </xf>
    <xf numFmtId="0" fontId="240" fillId="23" borderId="0" xfId="45" applyFont="1" applyFill="1" applyAlignment="1">
      <alignment horizontal="left" vertical="center"/>
    </xf>
    <xf numFmtId="0" fontId="241" fillId="23" borderId="0" xfId="39" applyFont="1" applyFill="1" applyAlignment="1">
      <alignment horizontal="center" vertical="center"/>
    </xf>
    <xf numFmtId="0" fontId="241" fillId="0" borderId="0" xfId="39" applyFont="1" applyAlignment="1">
      <alignment wrapText="1"/>
    </xf>
    <xf numFmtId="0" fontId="241" fillId="0" borderId="0" xfId="39" applyFont="1"/>
    <xf numFmtId="0" fontId="239" fillId="23" borderId="0" xfId="39" applyFont="1" applyFill="1" applyAlignment="1">
      <alignment horizontal="left" vertical="center"/>
    </xf>
    <xf numFmtId="0" fontId="242" fillId="23" borderId="0" xfId="39" applyFont="1" applyFill="1" applyAlignment="1">
      <alignment vertical="center"/>
    </xf>
    <xf numFmtId="0" fontId="242" fillId="23" borderId="0" xfId="39" applyFont="1" applyFill="1" applyAlignment="1">
      <alignment horizontal="center" vertical="center"/>
    </xf>
    <xf numFmtId="0" fontId="241" fillId="23" borderId="0" xfId="39" applyFont="1" applyFill="1" applyAlignment="1">
      <alignment horizontal="left" vertical="center"/>
    </xf>
    <xf numFmtId="216" fontId="242" fillId="23" borderId="0" xfId="39" applyNumberFormat="1" applyFont="1" applyFill="1" applyAlignment="1">
      <alignment horizontal="center" vertical="center"/>
    </xf>
    <xf numFmtId="0" fontId="239" fillId="23" borderId="0" xfId="45" applyFont="1" applyFill="1" applyAlignment="1">
      <alignment vertical="center"/>
    </xf>
    <xf numFmtId="0" fontId="239" fillId="23" borderId="0" xfId="45" applyFont="1" applyFill="1" applyAlignment="1">
      <alignment horizontal="left" vertical="center"/>
    </xf>
    <xf numFmtId="0" fontId="239" fillId="23" borderId="0" xfId="45" applyFont="1" applyFill="1" applyAlignment="1">
      <alignment horizontal="right" vertical="center"/>
    </xf>
    <xf numFmtId="14" fontId="239" fillId="23" borderId="0" xfId="45" applyNumberFormat="1" applyFont="1" applyFill="1" applyAlignment="1">
      <alignment vertical="center"/>
    </xf>
    <xf numFmtId="212" fontId="244" fillId="23" borderId="0" xfId="61" applyNumberFormat="1" applyFont="1" applyFill="1" applyBorder="1" applyAlignment="1">
      <alignment horizontal="center" vertical="center"/>
    </xf>
    <xf numFmtId="0" fontId="239" fillId="0" borderId="0" xfId="39" applyFont="1" applyAlignment="1">
      <alignment wrapText="1"/>
    </xf>
    <xf numFmtId="0" fontId="239" fillId="0" borderId="0" xfId="39" applyFont="1"/>
    <xf numFmtId="0" fontId="239" fillId="0" borderId="36" xfId="60" applyFont="1" applyBorder="1" applyAlignment="1">
      <alignment vertical="center"/>
    </xf>
    <xf numFmtId="49" fontId="239" fillId="16" borderId="54" xfId="45" applyNumberFormat="1" applyFont="1" applyFill="1" applyBorder="1" applyAlignment="1">
      <alignment horizontal="left" vertical="center"/>
    </xf>
    <xf numFmtId="0" fontId="239" fillId="23" borderId="0" xfId="39" applyFont="1" applyFill="1" applyAlignment="1">
      <alignment horizontal="right" vertical="center"/>
    </xf>
    <xf numFmtId="216" fontId="239" fillId="23" borderId="0" xfId="60" applyNumberFormat="1" applyFont="1" applyFill="1" applyAlignment="1">
      <alignment horizontal="center" vertical="center"/>
    </xf>
    <xf numFmtId="216" fontId="239" fillId="23" borderId="0" xfId="60" applyNumberFormat="1" applyFont="1" applyFill="1" applyAlignment="1">
      <alignment horizontal="centerContinuous" vertical="center"/>
    </xf>
    <xf numFmtId="0" fontId="239" fillId="23" borderId="0" xfId="60" applyFont="1" applyFill="1" applyAlignment="1">
      <alignment vertical="center"/>
    </xf>
    <xf numFmtId="0" fontId="239" fillId="35" borderId="130" xfId="60" applyFont="1" applyFill="1" applyBorder="1" applyAlignment="1">
      <alignment horizontal="center" vertical="center"/>
    </xf>
    <xf numFmtId="14" fontId="239" fillId="35" borderId="130" xfId="60" applyNumberFormat="1" applyFont="1" applyFill="1" applyBorder="1" applyAlignment="1">
      <alignment horizontal="center" vertical="center" wrapText="1"/>
    </xf>
    <xf numFmtId="14" fontId="239" fillId="35" borderId="130" xfId="60" applyNumberFormat="1" applyFont="1" applyFill="1" applyBorder="1" applyAlignment="1">
      <alignment horizontal="left" vertical="center" wrapText="1"/>
    </xf>
    <xf numFmtId="212" fontId="239" fillId="35" borderId="130" xfId="61" applyNumberFormat="1" applyFont="1" applyFill="1" applyBorder="1" applyAlignment="1">
      <alignment horizontal="center" vertical="center" wrapText="1"/>
    </xf>
    <xf numFmtId="0" fontId="239" fillId="0" borderId="0" xfId="39" applyFont="1" applyAlignment="1">
      <alignment vertical="center"/>
    </xf>
    <xf numFmtId="0" fontId="239" fillId="0" borderId="0" xfId="60" applyFont="1" applyAlignment="1">
      <alignment vertical="center"/>
    </xf>
    <xf numFmtId="14" fontId="244" fillId="0" borderId="130" xfId="60" applyNumberFormat="1" applyFont="1" applyBorder="1" applyAlignment="1">
      <alignment horizontal="center" vertical="center" wrapText="1"/>
    </xf>
    <xf numFmtId="0" fontId="244" fillId="0" borderId="130" xfId="60" applyFont="1" applyBorder="1" applyAlignment="1">
      <alignment horizontal="center" vertical="center" wrapText="1"/>
    </xf>
    <xf numFmtId="217" fontId="244" fillId="0" borderId="130" xfId="60" applyNumberFormat="1" applyFont="1" applyBorder="1" applyAlignment="1">
      <alignment horizontal="center" vertical="center" wrapText="1"/>
    </xf>
    <xf numFmtId="14" fontId="244" fillId="0" borderId="130" xfId="60" applyNumberFormat="1" applyFont="1" applyBorder="1" applyAlignment="1">
      <alignment horizontal="left" vertical="center" wrapText="1"/>
    </xf>
    <xf numFmtId="0" fontId="239" fillId="0" borderId="130" xfId="39" applyFont="1" applyBorder="1" applyAlignment="1">
      <alignment vertical="center" wrapText="1"/>
    </xf>
    <xf numFmtId="0" fontId="239" fillId="0" borderId="130" xfId="39" applyFont="1" applyBorder="1" applyAlignment="1">
      <alignment vertical="center"/>
    </xf>
    <xf numFmtId="14" fontId="244" fillId="19" borderId="130" xfId="60" applyNumberFormat="1" applyFont="1" applyFill="1" applyBorder="1" applyAlignment="1">
      <alignment horizontal="center" vertical="center" wrapText="1"/>
    </xf>
    <xf numFmtId="0" fontId="242" fillId="23" borderId="0" xfId="39" applyFont="1" applyFill="1"/>
    <xf numFmtId="0" fontId="242" fillId="0" borderId="0" xfId="39" applyFont="1"/>
    <xf numFmtId="0" fontId="242" fillId="0" borderId="0" xfId="39" applyFont="1" applyAlignment="1">
      <alignment horizontal="left"/>
    </xf>
    <xf numFmtId="0" fontId="242" fillId="0" borderId="0" xfId="39" applyFont="1" applyAlignment="1">
      <alignment wrapText="1"/>
    </xf>
    <xf numFmtId="0" fontId="219" fillId="0" borderId="175" xfId="51" applyFont="1" applyBorder="1"/>
    <xf numFmtId="2" fontId="249" fillId="0" borderId="175" xfId="51" applyNumberFormat="1" applyFont="1" applyBorder="1" applyAlignment="1">
      <alignment horizontal="center"/>
    </xf>
    <xf numFmtId="0" fontId="219" fillId="0" borderId="175" xfId="51" applyFont="1" applyBorder="1" applyAlignment="1">
      <alignment wrapText="1"/>
    </xf>
    <xf numFmtId="2" fontId="249" fillId="0" borderId="175" xfId="3" applyNumberFormat="1" applyFont="1" applyBorder="1" applyAlignment="1">
      <alignment horizontal="left" vertical="center" wrapText="1" shrinkToFit="1"/>
    </xf>
    <xf numFmtId="2" fontId="249" fillId="0" borderId="175" xfId="3" applyNumberFormat="1" applyFont="1" applyBorder="1" applyAlignment="1">
      <alignment horizontal="center" vertical="center" wrapText="1"/>
    </xf>
    <xf numFmtId="2" fontId="249" fillId="0" borderId="175" xfId="45" applyNumberFormat="1" applyFont="1" applyBorder="1" applyAlignment="1">
      <alignment horizontal="left" vertical="center" wrapText="1" shrinkToFit="1"/>
    </xf>
    <xf numFmtId="0" fontId="233" fillId="12" borderId="36" xfId="45" applyFont="1" applyFill="1" applyBorder="1" applyAlignment="1">
      <alignment horizontal="center" vertical="center"/>
    </xf>
    <xf numFmtId="0" fontId="233" fillId="12" borderId="37" xfId="45" applyFont="1" applyFill="1" applyBorder="1" applyAlignment="1">
      <alignment horizontal="center" vertical="center"/>
    </xf>
    <xf numFmtId="0" fontId="234" fillId="12" borderId="37" xfId="45" applyFont="1" applyFill="1" applyBorder="1" applyAlignment="1">
      <alignment horizontal="center" vertical="center"/>
    </xf>
    <xf numFmtId="0" fontId="233" fillId="12" borderId="36" xfId="45" applyFont="1" applyFill="1" applyBorder="1" applyAlignment="1">
      <alignment horizontal="center" vertical="center" wrapText="1"/>
    </xf>
    <xf numFmtId="0" fontId="233" fillId="12" borderId="37" xfId="45" applyFont="1" applyFill="1" applyBorder="1" applyAlignment="1">
      <alignment horizontal="center" vertical="center" wrapText="1"/>
    </xf>
    <xf numFmtId="0" fontId="234" fillId="12" borderId="36" xfId="45" applyFont="1" applyFill="1" applyBorder="1" applyAlignment="1">
      <alignment horizontal="center" vertical="center"/>
    </xf>
    <xf numFmtId="10" fontId="53" fillId="12" borderId="37" xfId="45" applyNumberFormat="1" applyFont="1" applyFill="1" applyBorder="1" applyAlignment="1">
      <alignment horizontal="center" vertical="center" wrapText="1"/>
    </xf>
    <xf numFmtId="175" fontId="175" fillId="12" borderId="138" xfId="51" applyNumberFormat="1" applyFont="1" applyFill="1" applyBorder="1" applyAlignment="1">
      <alignment horizontal="center" vertical="center"/>
    </xf>
    <xf numFmtId="2" fontId="249" fillId="0" borderId="176" xfId="45" applyNumberFormat="1" applyFont="1" applyBorder="1" applyAlignment="1">
      <alignment horizontal="left" vertical="center" wrapText="1" shrinkToFit="1"/>
    </xf>
    <xf numFmtId="2" fontId="249" fillId="0" borderId="176" xfId="3" applyNumberFormat="1" applyFont="1" applyBorder="1" applyAlignment="1">
      <alignment horizontal="center" vertical="center" wrapText="1"/>
    </xf>
    <xf numFmtId="0" fontId="204" fillId="82" borderId="175" xfId="51" applyFont="1" applyFill="1" applyBorder="1"/>
    <xf numFmtId="2" fontId="250" fillId="82" borderId="175" xfId="51" applyNumberFormat="1" applyFont="1" applyFill="1" applyBorder="1" applyAlignment="1">
      <alignment horizontal="center"/>
    </xf>
    <xf numFmtId="0" fontId="204" fillId="82" borderId="175" xfId="51" applyFont="1" applyFill="1" applyBorder="1" applyAlignment="1">
      <alignment wrapText="1"/>
    </xf>
    <xf numFmtId="2" fontId="250" fillId="82" borderId="175" xfId="3" applyNumberFormat="1" applyFont="1" applyFill="1" applyBorder="1" applyAlignment="1">
      <alignment horizontal="left" vertical="center" wrapText="1" shrinkToFit="1"/>
    </xf>
    <xf numFmtId="2" fontId="250" fillId="82" borderId="175" xfId="3" applyNumberFormat="1" applyFont="1" applyFill="1" applyBorder="1" applyAlignment="1">
      <alignment horizontal="center" vertical="center" wrapText="1"/>
    </xf>
    <xf numFmtId="2" fontId="250" fillId="82" borderId="175" xfId="45" applyNumberFormat="1" applyFont="1" applyFill="1" applyBorder="1" applyAlignment="1">
      <alignment horizontal="left" vertical="center" wrapText="1" shrinkToFit="1"/>
    </xf>
    <xf numFmtId="2" fontId="250" fillId="46" borderId="136" xfId="51" applyNumberFormat="1" applyFont="1" applyFill="1" applyBorder="1" applyAlignment="1">
      <alignment horizontal="center"/>
    </xf>
    <xf numFmtId="2" fontId="250" fillId="46" borderId="177" xfId="3" applyNumberFormat="1" applyFont="1" applyFill="1" applyBorder="1" applyAlignment="1">
      <alignment horizontal="center" vertical="center" shrinkToFit="1"/>
    </xf>
    <xf numFmtId="0" fontId="204" fillId="82" borderId="178" xfId="51" applyFont="1" applyFill="1" applyBorder="1" applyAlignment="1">
      <alignment horizontal="center"/>
    </xf>
    <xf numFmtId="2" fontId="249" fillId="0" borderId="178" xfId="3" applyNumberFormat="1" applyFont="1" applyBorder="1" applyAlignment="1">
      <alignment horizontal="center" vertical="center" shrinkToFit="1"/>
    </xf>
    <xf numFmtId="0" fontId="219" fillId="0" borderId="178" xfId="51" applyFont="1" applyBorder="1" applyAlignment="1">
      <alignment horizontal="center"/>
    </xf>
    <xf numFmtId="2" fontId="250" fillId="82" borderId="178" xfId="3" applyNumberFormat="1" applyFont="1" applyFill="1" applyBorder="1" applyAlignment="1">
      <alignment horizontal="center" vertical="center" shrinkToFit="1"/>
    </xf>
    <xf numFmtId="0" fontId="219" fillId="0" borderId="178" xfId="51" applyFont="1" applyBorder="1" applyAlignment="1">
      <alignment horizontal="center" wrapText="1"/>
    </xf>
    <xf numFmtId="2" fontId="249" fillId="0" borderId="178" xfId="45" applyNumberFormat="1" applyFont="1" applyBorder="1" applyAlignment="1">
      <alignment horizontal="center" vertical="center" shrinkToFit="1"/>
    </xf>
    <xf numFmtId="2" fontId="250" fillId="82" borderId="178" xfId="45" applyNumberFormat="1" applyFont="1" applyFill="1" applyBorder="1" applyAlignment="1">
      <alignment horizontal="center" vertical="center" shrinkToFit="1"/>
    </xf>
    <xf numFmtId="2" fontId="249" fillId="0" borderId="181" xfId="45" applyNumberFormat="1" applyFont="1" applyBorder="1" applyAlignment="1">
      <alignment horizontal="center" vertical="center" shrinkToFit="1"/>
    </xf>
    <xf numFmtId="0" fontId="250" fillId="46" borderId="136" xfId="51" applyFont="1" applyFill="1" applyBorder="1" applyAlignment="1">
      <alignment horizontal="center"/>
    </xf>
    <xf numFmtId="0" fontId="250" fillId="82" borderId="175" xfId="51" applyFont="1" applyFill="1" applyBorder="1" applyAlignment="1">
      <alignment horizontal="center"/>
    </xf>
    <xf numFmtId="0" fontId="249" fillId="0" borderId="175" xfId="51" applyFont="1" applyBorder="1" applyAlignment="1">
      <alignment horizontal="center"/>
    </xf>
    <xf numFmtId="0" fontId="219" fillId="0" borderId="175" xfId="51" applyFont="1" applyBorder="1" applyAlignment="1">
      <alignment horizontal="center"/>
    </xf>
    <xf numFmtId="0" fontId="204" fillId="46" borderId="136" xfId="51" applyFont="1" applyFill="1" applyBorder="1" applyAlignment="1">
      <alignment horizontal="left"/>
    </xf>
    <xf numFmtId="0" fontId="204" fillId="82" borderId="175" xfId="51" applyFont="1" applyFill="1" applyBorder="1" applyAlignment="1">
      <alignment horizontal="left"/>
    </xf>
    <xf numFmtId="0" fontId="204" fillId="82" borderId="175" xfId="51" applyFont="1" applyFill="1" applyBorder="1" applyAlignment="1">
      <alignment horizontal="left" wrapText="1"/>
    </xf>
    <xf numFmtId="0" fontId="219" fillId="0" borderId="175" xfId="51" applyFont="1" applyBorder="1" applyAlignment="1">
      <alignment horizontal="left"/>
    </xf>
    <xf numFmtId="0" fontId="219" fillId="0" borderId="175" xfId="51" applyFont="1" applyBorder="1" applyAlignment="1">
      <alignment horizontal="left" wrapText="1"/>
    </xf>
    <xf numFmtId="197" fontId="250" fillId="46" borderId="136" xfId="51" applyNumberFormat="1" applyFont="1" applyFill="1" applyBorder="1" applyAlignment="1">
      <alignment horizontal="center"/>
    </xf>
    <xf numFmtId="197" fontId="250" fillId="82" borderId="175" xfId="51" applyNumberFormat="1" applyFont="1" applyFill="1" applyBorder="1" applyAlignment="1">
      <alignment horizontal="center"/>
    </xf>
    <xf numFmtId="197" fontId="249" fillId="0" borderId="175" xfId="3" applyNumberFormat="1" applyFont="1" applyBorder="1" applyAlignment="1">
      <alignment horizontal="center" vertical="center" wrapText="1"/>
    </xf>
    <xf numFmtId="197" fontId="249" fillId="0" borderId="175" xfId="51" applyNumberFormat="1" applyFont="1" applyBorder="1" applyAlignment="1">
      <alignment horizontal="center"/>
    </xf>
    <xf numFmtId="197" fontId="250" fillId="82" borderId="175" xfId="3" applyNumberFormat="1" applyFont="1" applyFill="1" applyBorder="1" applyAlignment="1">
      <alignment horizontal="center" vertical="center" wrapText="1"/>
    </xf>
    <xf numFmtId="197" fontId="219" fillId="0" borderId="175" xfId="51" applyNumberFormat="1" applyFont="1" applyBorder="1" applyAlignment="1">
      <alignment horizontal="center" vertical="center"/>
    </xf>
    <xf numFmtId="197" fontId="249" fillId="0" borderId="176" xfId="3" applyNumberFormat="1" applyFont="1" applyBorder="1" applyAlignment="1">
      <alignment horizontal="center" vertical="center" wrapText="1"/>
    </xf>
    <xf numFmtId="197" fontId="219" fillId="0" borderId="175" xfId="51" applyNumberFormat="1" applyFont="1" applyBorder="1" applyAlignment="1">
      <alignment horizontal="center"/>
    </xf>
    <xf numFmtId="195" fontId="250" fillId="46" borderId="136" xfId="51" applyNumberFormat="1" applyFont="1" applyFill="1" applyBorder="1" applyAlignment="1">
      <alignment horizontal="center"/>
    </xf>
    <xf numFmtId="195" fontId="250" fillId="82" borderId="175" xfId="51" applyNumberFormat="1" applyFont="1" applyFill="1" applyBorder="1" applyAlignment="1">
      <alignment horizontal="center"/>
    </xf>
    <xf numFmtId="195" fontId="249" fillId="0" borderId="175" xfId="3" applyNumberFormat="1" applyFont="1" applyBorder="1" applyAlignment="1">
      <alignment horizontal="center" vertical="center" wrapText="1"/>
    </xf>
    <xf numFmtId="195" fontId="249" fillId="0" borderId="175" xfId="51" applyNumberFormat="1" applyFont="1" applyBorder="1" applyAlignment="1">
      <alignment horizontal="center"/>
    </xf>
    <xf numFmtId="195" fontId="250" fillId="82" borderId="175" xfId="3" applyNumberFormat="1" applyFont="1" applyFill="1" applyBorder="1" applyAlignment="1">
      <alignment horizontal="center" vertical="center" wrapText="1"/>
    </xf>
    <xf numFmtId="195" fontId="219" fillId="0" borderId="175" xfId="51" applyNumberFormat="1" applyFont="1" applyBorder="1" applyAlignment="1">
      <alignment horizontal="center"/>
    </xf>
    <xf numFmtId="195" fontId="249" fillId="0" borderId="176" xfId="3" applyNumberFormat="1" applyFont="1" applyBorder="1" applyAlignment="1">
      <alignment horizontal="center" vertical="center" wrapText="1"/>
    </xf>
    <xf numFmtId="195" fontId="249" fillId="0" borderId="175" xfId="56" applyNumberFormat="1" applyFont="1" applyFill="1" applyBorder="1" applyAlignment="1">
      <alignment horizontal="center"/>
    </xf>
    <xf numFmtId="195" fontId="219" fillId="0" borderId="175" xfId="51" applyNumberFormat="1" applyFont="1" applyBorder="1" applyAlignment="1">
      <alignment horizontal="center" vertical="center"/>
    </xf>
    <xf numFmtId="219" fontId="250" fillId="46" borderId="136" xfId="51" applyNumberFormat="1" applyFont="1" applyFill="1" applyBorder="1" applyAlignment="1">
      <alignment horizontal="center"/>
    </xf>
    <xf numFmtId="219" fontId="250" fillId="82" borderId="175" xfId="51" applyNumberFormat="1" applyFont="1" applyFill="1" applyBorder="1" applyAlignment="1">
      <alignment horizontal="center"/>
    </xf>
    <xf numFmtId="219" fontId="249" fillId="0" borderId="175" xfId="3" applyNumberFormat="1" applyFont="1" applyBorder="1" applyAlignment="1">
      <alignment horizontal="center" vertical="center" wrapText="1"/>
    </xf>
    <xf numFmtId="219" fontId="249" fillId="0" borderId="175" xfId="51" applyNumberFormat="1" applyFont="1" applyBorder="1" applyAlignment="1">
      <alignment horizontal="center"/>
    </xf>
    <xf numFmtId="219" fontId="250" fillId="82" borderId="175" xfId="3" applyNumberFormat="1" applyFont="1" applyFill="1" applyBorder="1" applyAlignment="1">
      <alignment horizontal="center" vertical="center" wrapText="1"/>
    </xf>
    <xf numFmtId="219" fontId="219" fillId="0" borderId="175" xfId="51" applyNumberFormat="1" applyFont="1" applyBorder="1" applyAlignment="1">
      <alignment horizontal="center" vertical="center"/>
    </xf>
    <xf numFmtId="219" fontId="249" fillId="0" borderId="176" xfId="3" applyNumberFormat="1" applyFont="1" applyBorder="1" applyAlignment="1">
      <alignment horizontal="center" vertical="center" wrapText="1"/>
    </xf>
    <xf numFmtId="197" fontId="204" fillId="46" borderId="136" xfId="51" applyNumberFormat="1" applyFont="1" applyFill="1" applyBorder="1" applyAlignment="1">
      <alignment horizontal="center" vertical="center"/>
    </xf>
    <xf numFmtId="197" fontId="204" fillId="82" borderId="175" xfId="51" applyNumberFormat="1" applyFont="1" applyFill="1" applyBorder="1" applyAlignment="1">
      <alignment horizontal="center" vertical="center"/>
    </xf>
    <xf numFmtId="0" fontId="219" fillId="0" borderId="175" xfId="51" applyFont="1" applyBorder="1" applyAlignment="1">
      <alignment horizontal="center" wrapText="1"/>
    </xf>
    <xf numFmtId="2" fontId="249" fillId="0" borderId="175" xfId="3" applyNumberFormat="1" applyFont="1" applyBorder="1" applyAlignment="1">
      <alignment horizontal="center" vertical="center" wrapText="1" shrinkToFit="1"/>
    </xf>
    <xf numFmtId="0" fontId="249" fillId="0" borderId="175" xfId="45" applyFont="1" applyBorder="1" applyAlignment="1">
      <alignment horizontal="center" vertical="center" wrapText="1"/>
    </xf>
    <xf numFmtId="0" fontId="249" fillId="0" borderId="175" xfId="45" applyFont="1" applyBorder="1" applyAlignment="1">
      <alignment vertical="center"/>
    </xf>
    <xf numFmtId="0" fontId="249" fillId="0" borderId="176" xfId="45" applyFont="1" applyBorder="1" applyAlignment="1">
      <alignment horizontal="center" vertical="center" wrapText="1"/>
    </xf>
    <xf numFmtId="0" fontId="249" fillId="0" borderId="176" xfId="45" applyFont="1" applyBorder="1" applyAlignment="1">
      <alignment vertical="center"/>
    </xf>
    <xf numFmtId="10" fontId="53" fillId="36" borderId="186" xfId="56" applyNumberFormat="1" applyFont="1" applyFill="1" applyBorder="1" applyAlignment="1">
      <alignment horizontal="center" vertical="center" wrapText="1"/>
    </xf>
    <xf numFmtId="10" fontId="53" fillId="36" borderId="174" xfId="56" applyNumberFormat="1" applyFont="1" applyFill="1" applyBorder="1" applyAlignment="1">
      <alignment horizontal="center" vertical="center" wrapText="1"/>
    </xf>
    <xf numFmtId="10" fontId="53" fillId="36" borderId="187" xfId="56" applyNumberFormat="1" applyFont="1" applyFill="1" applyBorder="1" applyAlignment="1">
      <alignment horizontal="center" vertical="center" wrapText="1"/>
    </xf>
    <xf numFmtId="2" fontId="249" fillId="0" borderId="188" xfId="45" applyNumberFormat="1" applyFont="1" applyBorder="1" applyAlignment="1">
      <alignment horizontal="center" vertical="center" shrinkToFit="1"/>
    </xf>
    <xf numFmtId="2" fontId="249" fillId="0" borderId="35" xfId="45" applyNumberFormat="1" applyFont="1" applyBorder="1" applyAlignment="1">
      <alignment horizontal="left" vertical="center" wrapText="1" shrinkToFit="1"/>
    </xf>
    <xf numFmtId="2" fontId="249" fillId="0" borderId="35" xfId="3" applyNumberFormat="1" applyFont="1" applyBorder="1" applyAlignment="1">
      <alignment horizontal="center" vertical="center" wrapText="1"/>
    </xf>
    <xf numFmtId="197" fontId="249" fillId="0" borderId="35" xfId="3" applyNumberFormat="1" applyFont="1" applyBorder="1" applyAlignment="1">
      <alignment horizontal="center" vertical="center" wrapText="1"/>
    </xf>
    <xf numFmtId="195" fontId="249" fillId="0" borderId="35" xfId="3" applyNumberFormat="1" applyFont="1" applyBorder="1" applyAlignment="1">
      <alignment horizontal="center" vertical="center" wrapText="1"/>
    </xf>
    <xf numFmtId="219" fontId="249" fillId="0" borderId="35" xfId="3" applyNumberFormat="1" applyFont="1" applyBorder="1" applyAlignment="1">
      <alignment horizontal="center" vertical="center" wrapText="1"/>
    </xf>
    <xf numFmtId="0" fontId="249" fillId="0" borderId="178" xfId="45" applyFont="1" applyBorder="1" applyAlignment="1">
      <alignment horizontal="center" vertical="center" wrapText="1"/>
    </xf>
    <xf numFmtId="0" fontId="249" fillId="0" borderId="181" xfId="45" applyFont="1" applyBorder="1" applyAlignment="1">
      <alignment horizontal="center" vertical="center" wrapText="1"/>
    </xf>
    <xf numFmtId="0" fontId="204" fillId="82" borderId="175" xfId="51" applyFont="1" applyFill="1" applyBorder="1" applyAlignment="1">
      <alignment horizontal="center"/>
    </xf>
    <xf numFmtId="0" fontId="204" fillId="82" borderId="175" xfId="51" applyFont="1" applyFill="1" applyBorder="1" applyAlignment="1">
      <alignment horizontal="center" wrapText="1"/>
    </xf>
    <xf numFmtId="2" fontId="250" fillId="82" borderId="175" xfId="3" applyNumberFormat="1" applyFont="1" applyFill="1" applyBorder="1" applyAlignment="1">
      <alignment horizontal="center" vertical="center" wrapText="1" shrinkToFit="1"/>
    </xf>
    <xf numFmtId="2" fontId="251" fillId="46" borderId="183" xfId="3" applyNumberFormat="1" applyFont="1" applyFill="1" applyBorder="1" applyAlignment="1">
      <alignment horizontal="left" vertical="center" shrinkToFit="1"/>
    </xf>
    <xf numFmtId="0" fontId="236" fillId="46" borderId="184" xfId="51" applyFont="1" applyFill="1" applyBorder="1" applyAlignment="1">
      <alignment wrapText="1"/>
    </xf>
    <xf numFmtId="0" fontId="236" fillId="46" borderId="184" xfId="51" applyFont="1" applyFill="1" applyBorder="1" applyAlignment="1">
      <alignment horizontal="center"/>
    </xf>
    <xf numFmtId="0" fontId="236" fillId="46" borderId="184" xfId="51" applyFont="1" applyFill="1" applyBorder="1"/>
    <xf numFmtId="175" fontId="176" fillId="46" borderId="153" xfId="51" applyNumberFormat="1" applyFont="1" applyFill="1" applyBorder="1" applyAlignment="1">
      <alignment horizontal="center" vertical="center" textRotation="90"/>
    </xf>
    <xf numFmtId="2" fontId="219" fillId="0" borderId="175" xfId="51" applyNumberFormat="1" applyFont="1" applyBorder="1" applyAlignment="1">
      <alignment horizontal="left" wrapText="1"/>
    </xf>
    <xf numFmtId="2" fontId="204" fillId="82" borderId="175" xfId="51" applyNumberFormat="1" applyFont="1" applyFill="1" applyBorder="1" applyAlignment="1">
      <alignment horizontal="left" wrapText="1"/>
    </xf>
    <xf numFmtId="2" fontId="249" fillId="0" borderId="175" xfId="45" applyNumberFormat="1" applyFont="1" applyBorder="1" applyAlignment="1">
      <alignment horizontal="left" vertical="center" wrapText="1"/>
    </xf>
    <xf numFmtId="0" fontId="249" fillId="0" borderId="175" xfId="45" applyFont="1" applyBorder="1" applyAlignment="1">
      <alignment horizontal="left" vertical="center" wrapText="1"/>
    </xf>
    <xf numFmtId="2" fontId="249" fillId="0" borderId="176" xfId="45" applyNumberFormat="1" applyFont="1" applyBorder="1" applyAlignment="1">
      <alignment horizontal="left" vertical="center" wrapText="1"/>
    </xf>
    <xf numFmtId="197" fontId="236" fillId="46" borderId="184" xfId="51" applyNumberFormat="1" applyFont="1" applyFill="1" applyBorder="1" applyAlignment="1">
      <alignment horizontal="center"/>
    </xf>
    <xf numFmtId="197" fontId="204" fillId="82" borderId="175" xfId="51" applyNumberFormat="1" applyFont="1" applyFill="1" applyBorder="1" applyAlignment="1">
      <alignment horizontal="center"/>
    </xf>
    <xf numFmtId="197" fontId="204" fillId="82" borderId="175" xfId="51" applyNumberFormat="1" applyFont="1" applyFill="1" applyBorder="1" applyAlignment="1">
      <alignment horizontal="center" wrapText="1"/>
    </xf>
    <xf numFmtId="197" fontId="249" fillId="0" borderId="175" xfId="3" applyNumberFormat="1" applyFont="1" applyBorder="1" applyAlignment="1">
      <alignment horizontal="center" vertical="center" wrapText="1" shrinkToFit="1"/>
    </xf>
    <xf numFmtId="197" fontId="219" fillId="0" borderId="175" xfId="51" applyNumberFormat="1" applyFont="1" applyBorder="1" applyAlignment="1">
      <alignment horizontal="center" wrapText="1"/>
    </xf>
    <xf numFmtId="197" fontId="250" fillId="82" borderId="175" xfId="3" applyNumberFormat="1" applyFont="1" applyFill="1" applyBorder="1" applyAlignment="1">
      <alignment horizontal="center" vertical="center" wrapText="1" shrinkToFit="1"/>
    </xf>
    <xf numFmtId="197" fontId="249" fillId="0" borderId="175" xfId="45" applyNumberFormat="1" applyFont="1" applyBorder="1" applyAlignment="1">
      <alignment horizontal="center" vertical="center" wrapText="1"/>
    </xf>
    <xf numFmtId="197" fontId="249" fillId="0" borderId="176" xfId="45" applyNumberFormat="1" applyFont="1" applyBorder="1" applyAlignment="1">
      <alignment horizontal="center" vertical="center" wrapText="1"/>
    </xf>
    <xf numFmtId="197" fontId="236" fillId="46" borderId="184" xfId="51" applyNumberFormat="1" applyFont="1" applyFill="1" applyBorder="1" applyAlignment="1">
      <alignment horizontal="center" vertical="top"/>
    </xf>
    <xf numFmtId="197" fontId="250" fillId="82" borderId="175" xfId="57" applyNumberFormat="1" applyFont="1" applyFill="1" applyBorder="1" applyAlignment="1">
      <alignment horizontal="center" vertical="center"/>
    </xf>
    <xf numFmtId="197" fontId="249" fillId="0" borderId="175" xfId="57" applyNumberFormat="1" applyFont="1" applyFill="1" applyBorder="1" applyAlignment="1">
      <alignment horizontal="center" vertical="center"/>
    </xf>
    <xf numFmtId="197" fontId="249" fillId="0" borderId="175" xfId="58" applyNumberFormat="1" applyFont="1" applyFill="1" applyBorder="1" applyAlignment="1">
      <alignment horizontal="center" vertical="center" wrapText="1"/>
    </xf>
    <xf numFmtId="197" fontId="250" fillId="82" borderId="175" xfId="58" applyNumberFormat="1" applyFont="1" applyFill="1" applyBorder="1" applyAlignment="1">
      <alignment horizontal="center" vertical="center" wrapText="1"/>
    </xf>
    <xf numFmtId="197" fontId="249" fillId="0" borderId="175" xfId="45" applyNumberFormat="1" applyFont="1" applyBorder="1" applyAlignment="1">
      <alignment horizontal="center" vertical="center"/>
    </xf>
    <xf numFmtId="197" fontId="249" fillId="0" borderId="176" xfId="45" applyNumberFormat="1" applyFont="1" applyBorder="1" applyAlignment="1">
      <alignment horizontal="center" vertical="center"/>
    </xf>
    <xf numFmtId="219" fontId="236" fillId="46" borderId="184" xfId="47" applyNumberFormat="1" applyFont="1" applyFill="1" applyBorder="1" applyAlignment="1">
      <alignment horizontal="center" vertical="top"/>
    </xf>
    <xf numFmtId="219" fontId="204" fillId="82" borderId="175" xfId="51" applyNumberFormat="1" applyFont="1" applyFill="1" applyBorder="1" applyAlignment="1">
      <alignment horizontal="center"/>
    </xf>
    <xf numFmtId="219" fontId="204" fillId="82" borderId="175" xfId="51" applyNumberFormat="1" applyFont="1" applyFill="1" applyBorder="1" applyAlignment="1">
      <alignment horizontal="center" wrapText="1"/>
    </xf>
    <xf numFmtId="219" fontId="249" fillId="0" borderId="175" xfId="3" applyNumberFormat="1" applyFont="1" applyBorder="1" applyAlignment="1">
      <alignment horizontal="center" vertical="center" wrapText="1" shrinkToFit="1"/>
    </xf>
    <xf numFmtId="219" fontId="219" fillId="0" borderId="175" xfId="51" applyNumberFormat="1" applyFont="1" applyBorder="1" applyAlignment="1">
      <alignment horizontal="center"/>
    </xf>
    <xf numFmtId="219" fontId="219" fillId="0" borderId="175" xfId="51" applyNumberFormat="1" applyFont="1" applyBorder="1" applyAlignment="1">
      <alignment horizontal="center" wrapText="1"/>
    </xf>
    <xf numFmtId="219" fontId="250" fillId="82" borderId="175" xfId="3" applyNumberFormat="1" applyFont="1" applyFill="1" applyBorder="1" applyAlignment="1">
      <alignment horizontal="center" vertical="center" wrapText="1" shrinkToFit="1"/>
    </xf>
    <xf numFmtId="219" fontId="249" fillId="0" borderId="175" xfId="45" applyNumberFormat="1" applyFont="1" applyBorder="1" applyAlignment="1">
      <alignment horizontal="center" vertical="center" wrapText="1"/>
    </xf>
    <xf numFmtId="219" fontId="249" fillId="0" borderId="176" xfId="45" applyNumberFormat="1" applyFont="1" applyBorder="1" applyAlignment="1">
      <alignment horizontal="center" vertical="center" wrapText="1"/>
    </xf>
    <xf numFmtId="219" fontId="236" fillId="46" borderId="184" xfId="51" applyNumberFormat="1" applyFont="1" applyFill="1" applyBorder="1" applyAlignment="1">
      <alignment horizontal="center"/>
    </xf>
    <xf numFmtId="219" fontId="250" fillId="82" borderId="175" xfId="57" applyNumberFormat="1" applyFont="1" applyFill="1" applyBorder="1" applyAlignment="1">
      <alignment horizontal="center" vertical="center"/>
    </xf>
    <xf numFmtId="219" fontId="249" fillId="0" borderId="175" xfId="56" applyNumberFormat="1" applyFont="1" applyFill="1" applyBorder="1" applyAlignment="1">
      <alignment horizontal="center" vertical="center"/>
    </xf>
    <xf numFmtId="219" fontId="249" fillId="0" borderId="175" xfId="58" applyNumberFormat="1" applyFont="1" applyFill="1" applyBorder="1" applyAlignment="1">
      <alignment horizontal="center" vertical="center" wrapText="1"/>
    </xf>
    <xf numFmtId="219" fontId="249" fillId="0" borderId="175" xfId="57" applyNumberFormat="1" applyFont="1" applyFill="1" applyBorder="1" applyAlignment="1">
      <alignment horizontal="center" vertical="center"/>
    </xf>
    <xf numFmtId="219" fontId="250" fillId="82" borderId="175" xfId="58" applyNumberFormat="1" applyFont="1" applyFill="1" applyBorder="1" applyAlignment="1">
      <alignment horizontal="center" vertical="center" wrapText="1"/>
    </xf>
    <xf numFmtId="219" fontId="250" fillId="82" borderId="175" xfId="56" applyNumberFormat="1" applyFont="1" applyFill="1" applyBorder="1" applyAlignment="1">
      <alignment horizontal="center" vertical="center"/>
    </xf>
    <xf numFmtId="219" fontId="249" fillId="0" borderId="175" xfId="45" applyNumberFormat="1" applyFont="1" applyBorder="1" applyAlignment="1">
      <alignment horizontal="center" vertical="center"/>
    </xf>
    <xf numFmtId="219" fontId="249" fillId="0" borderId="176" xfId="45" applyNumberFormat="1" applyFont="1" applyBorder="1" applyAlignment="1">
      <alignment horizontal="center" vertical="center"/>
    </xf>
    <xf numFmtId="197" fontId="249" fillId="0" borderId="175" xfId="56" applyNumberFormat="1" applyFont="1" applyFill="1" applyBorder="1" applyAlignment="1">
      <alignment horizontal="center" vertical="center" wrapText="1"/>
    </xf>
    <xf numFmtId="197" fontId="249" fillId="0" borderId="176" xfId="56" applyNumberFormat="1" applyFont="1" applyFill="1" applyBorder="1" applyAlignment="1">
      <alignment horizontal="center" vertical="center" wrapText="1"/>
    </xf>
    <xf numFmtId="0" fontId="250" fillId="23" borderId="130" xfId="39" applyFont="1" applyFill="1" applyBorder="1" applyAlignment="1">
      <alignment horizontal="center" vertical="center"/>
    </xf>
    <xf numFmtId="2" fontId="249" fillId="0" borderId="188" xfId="3" applyNumberFormat="1" applyFont="1" applyBorder="1" applyAlignment="1">
      <alignment horizontal="center" vertical="center" shrinkToFit="1"/>
    </xf>
    <xf numFmtId="2" fontId="249" fillId="0" borderId="35" xfId="3" applyNumberFormat="1" applyFont="1" applyBorder="1" applyAlignment="1">
      <alignment horizontal="left" vertical="center" wrapText="1" shrinkToFit="1"/>
    </xf>
    <xf numFmtId="0" fontId="250" fillId="46" borderId="130" xfId="39" applyFont="1" applyFill="1" applyBorder="1" applyAlignment="1">
      <alignment horizontal="center" vertical="center"/>
    </xf>
    <xf numFmtId="0" fontId="250" fillId="46" borderId="130" xfId="39" applyFont="1" applyFill="1" applyBorder="1" applyAlignment="1">
      <alignment horizontal="center" vertical="center" wrapText="1"/>
    </xf>
    <xf numFmtId="219" fontId="250" fillId="23" borderId="130" xfId="39" applyNumberFormat="1" applyFont="1" applyFill="1" applyBorder="1" applyAlignment="1">
      <alignment horizontal="center" vertical="center"/>
    </xf>
    <xf numFmtId="9" fontId="250" fillId="23" borderId="130" xfId="39" applyNumberFormat="1" applyFont="1" applyFill="1" applyBorder="1" applyAlignment="1">
      <alignment horizontal="center" vertical="center"/>
    </xf>
    <xf numFmtId="0" fontId="248" fillId="23" borderId="130" xfId="51" applyFont="1" applyFill="1" applyBorder="1" applyAlignment="1">
      <alignment horizontal="center" vertical="center"/>
    </xf>
    <xf numFmtId="2" fontId="249" fillId="0" borderId="66" xfId="3" applyNumberFormat="1" applyFont="1" applyBorder="1" applyAlignment="1">
      <alignment horizontal="center" vertical="center" shrinkToFit="1"/>
    </xf>
    <xf numFmtId="2" fontId="249" fillId="0" borderId="53" xfId="3" applyNumberFormat="1" applyFont="1" applyBorder="1" applyAlignment="1">
      <alignment horizontal="left" vertical="center" wrapText="1" shrinkToFit="1"/>
    </xf>
    <xf numFmtId="2" fontId="249" fillId="0" borderId="53" xfId="3" applyNumberFormat="1" applyFont="1" applyBorder="1" applyAlignment="1">
      <alignment horizontal="center" vertical="center" wrapText="1"/>
    </xf>
    <xf numFmtId="2" fontId="249" fillId="0" borderId="53" xfId="3" applyNumberFormat="1" applyFont="1" applyBorder="1" applyAlignment="1">
      <alignment horizontal="center" vertical="center" wrapText="1" shrinkToFit="1"/>
    </xf>
    <xf numFmtId="2" fontId="250" fillId="82" borderId="188" xfId="3" applyNumberFormat="1" applyFont="1" applyFill="1" applyBorder="1" applyAlignment="1">
      <alignment horizontal="center" vertical="center" shrinkToFit="1"/>
    </xf>
    <xf numFmtId="2" fontId="250" fillId="82" borderId="35" xfId="3" applyNumberFormat="1" applyFont="1" applyFill="1" applyBorder="1" applyAlignment="1">
      <alignment horizontal="left" vertical="center" wrapText="1" shrinkToFit="1"/>
    </xf>
    <xf numFmtId="2" fontId="250" fillId="82" borderId="35" xfId="3" applyNumberFormat="1" applyFont="1" applyFill="1" applyBorder="1" applyAlignment="1">
      <alignment horizontal="center" vertical="center" wrapText="1" shrinkToFit="1"/>
    </xf>
    <xf numFmtId="212" fontId="246" fillId="46" borderId="130" xfId="59" applyNumberFormat="1" applyFont="1" applyFill="1" applyBorder="1" applyAlignment="1">
      <alignment vertical="center"/>
    </xf>
    <xf numFmtId="10" fontId="247" fillId="76" borderId="130" xfId="56" applyNumberFormat="1" applyFont="1" applyFill="1" applyBorder="1" applyAlignment="1">
      <alignment horizontal="center" vertical="center"/>
    </xf>
    <xf numFmtId="0" fontId="252" fillId="0" borderId="130" xfId="51" applyFont="1" applyBorder="1" applyAlignment="1">
      <alignment horizontal="center" vertical="center"/>
    </xf>
    <xf numFmtId="0" fontId="252" fillId="0" borderId="130" xfId="51" applyFont="1" applyBorder="1" applyAlignment="1">
      <alignment horizontal="left" vertical="center" wrapText="1"/>
    </xf>
    <xf numFmtId="0" fontId="248" fillId="0" borderId="138" xfId="51" applyFont="1" applyBorder="1"/>
    <xf numFmtId="0" fontId="248" fillId="0" borderId="139" xfId="51" applyFont="1" applyBorder="1"/>
    <xf numFmtId="0" fontId="219" fillId="0" borderId="66" xfId="51" applyFont="1" applyBorder="1" applyAlignment="1">
      <alignment horizontal="center"/>
    </xf>
    <xf numFmtId="0" fontId="219" fillId="0" borderId="53" xfId="51" applyFont="1" applyBorder="1" applyAlignment="1">
      <alignment horizontal="left" wrapText="1"/>
    </xf>
    <xf numFmtId="0" fontId="249" fillId="0" borderId="53" xfId="51" applyFont="1" applyBorder="1" applyAlignment="1">
      <alignment horizontal="center"/>
    </xf>
    <xf numFmtId="197" fontId="249" fillId="0" borderId="180" xfId="51" applyNumberFormat="1" applyFont="1" applyBorder="1" applyAlignment="1">
      <alignment horizontal="center"/>
    </xf>
    <xf numFmtId="195" fontId="249" fillId="0" borderId="180" xfId="51" applyNumberFormat="1" applyFont="1" applyBorder="1" applyAlignment="1">
      <alignment horizontal="center"/>
    </xf>
    <xf numFmtId="219" fontId="249" fillId="0" borderId="180" xfId="51" applyNumberFormat="1" applyFont="1" applyBorder="1" applyAlignment="1">
      <alignment horizontal="center"/>
    </xf>
    <xf numFmtId="2" fontId="249" fillId="0" borderId="180" xfId="51" applyNumberFormat="1" applyFont="1" applyBorder="1" applyAlignment="1">
      <alignment horizontal="center"/>
    </xf>
    <xf numFmtId="2" fontId="250" fillId="82" borderId="66" xfId="3" applyNumberFormat="1" applyFont="1" applyFill="1" applyBorder="1" applyAlignment="1">
      <alignment horizontal="center" vertical="center" shrinkToFit="1"/>
    </xf>
    <xf numFmtId="2" fontId="250" fillId="82" borderId="53" xfId="3" applyNumberFormat="1" applyFont="1" applyFill="1" applyBorder="1" applyAlignment="1">
      <alignment horizontal="left" vertical="center" wrapText="1" shrinkToFit="1"/>
    </xf>
    <xf numFmtId="2" fontId="250" fillId="82" borderId="53" xfId="3" applyNumberFormat="1" applyFont="1" applyFill="1" applyBorder="1" applyAlignment="1">
      <alignment horizontal="center" vertical="center" wrapText="1" shrinkToFit="1"/>
    </xf>
    <xf numFmtId="197" fontId="250" fillId="82" borderId="180" xfId="3" applyNumberFormat="1" applyFont="1" applyFill="1" applyBorder="1" applyAlignment="1">
      <alignment horizontal="center" vertical="center" wrapText="1" shrinkToFit="1"/>
    </xf>
    <xf numFmtId="219" fontId="250" fillId="82" borderId="180" xfId="3" applyNumberFormat="1" applyFont="1" applyFill="1" applyBorder="1" applyAlignment="1">
      <alignment horizontal="center" vertical="center" wrapText="1" shrinkToFit="1"/>
    </xf>
    <xf numFmtId="2" fontId="250" fillId="82" borderId="180" xfId="3" applyNumberFormat="1" applyFont="1" applyFill="1" applyBorder="1" applyAlignment="1">
      <alignment horizontal="left" vertical="center" wrapText="1" shrinkToFit="1"/>
    </xf>
    <xf numFmtId="197" fontId="204" fillId="82" borderId="180" xfId="51" applyNumberFormat="1" applyFont="1" applyFill="1" applyBorder="1" applyAlignment="1">
      <alignment horizontal="center" vertical="center"/>
    </xf>
    <xf numFmtId="219" fontId="250" fillId="82" borderId="180" xfId="58" applyNumberFormat="1" applyFont="1" applyFill="1" applyBorder="1" applyAlignment="1">
      <alignment horizontal="center" vertical="center" wrapText="1"/>
    </xf>
    <xf numFmtId="197" fontId="250" fillId="82" borderId="180" xfId="58" applyNumberFormat="1" applyFont="1" applyFill="1" applyBorder="1" applyAlignment="1">
      <alignment horizontal="center" vertical="center" wrapText="1"/>
    </xf>
    <xf numFmtId="197" fontId="250" fillId="82" borderId="35" xfId="3" applyNumberFormat="1" applyFont="1" applyFill="1" applyBorder="1" applyAlignment="1">
      <alignment horizontal="center" vertical="center" wrapText="1" shrinkToFit="1"/>
    </xf>
    <xf numFmtId="219" fontId="250" fillId="82" borderId="35" xfId="3" applyNumberFormat="1" applyFont="1" applyFill="1" applyBorder="1" applyAlignment="1">
      <alignment horizontal="center" vertical="center" wrapText="1" shrinkToFit="1"/>
    </xf>
    <xf numFmtId="197" fontId="204" fillId="82" borderId="35" xfId="51" applyNumberFormat="1" applyFont="1" applyFill="1" applyBorder="1" applyAlignment="1">
      <alignment horizontal="center" vertical="center"/>
    </xf>
    <xf numFmtId="219" fontId="250" fillId="82" borderId="35" xfId="58" applyNumberFormat="1" applyFont="1" applyFill="1" applyBorder="1" applyAlignment="1">
      <alignment horizontal="center" vertical="center" wrapText="1"/>
    </xf>
    <xf numFmtId="197" fontId="250" fillId="82" borderId="35" xfId="58" applyNumberFormat="1" applyFont="1" applyFill="1" applyBorder="1" applyAlignment="1">
      <alignment horizontal="center" vertical="center" wrapText="1"/>
    </xf>
    <xf numFmtId="0" fontId="248" fillId="0" borderId="130" xfId="51" applyFont="1" applyBorder="1" applyAlignment="1">
      <alignment horizontal="center"/>
    </xf>
    <xf numFmtId="10" fontId="250" fillId="22" borderId="130" xfId="56" applyNumberFormat="1" applyFont="1" applyFill="1" applyBorder="1" applyAlignment="1" applyProtection="1">
      <alignment horizontal="center" vertical="top" wrapText="1"/>
      <protection locked="0" hidden="1"/>
    </xf>
    <xf numFmtId="0" fontId="152" fillId="0" borderId="190" xfId="45" applyFont="1" applyBorder="1" applyAlignment="1">
      <alignment horizontal="center" vertical="center"/>
    </xf>
    <xf numFmtId="0" fontId="152" fillId="0" borderId="191" xfId="45" applyFont="1" applyBorder="1" applyAlignment="1">
      <alignment horizontal="center" vertical="center" wrapText="1"/>
    </xf>
    <xf numFmtId="0" fontId="177" fillId="0" borderId="191" xfId="45" applyFont="1" applyBorder="1" applyAlignment="1">
      <alignment horizontal="center" vertical="center"/>
    </xf>
    <xf numFmtId="211" fontId="9" fillId="0" borderId="191" xfId="45" applyNumberFormat="1" applyFont="1" applyBorder="1" applyAlignment="1">
      <alignment horizontal="center" vertical="center" wrapText="1"/>
    </xf>
    <xf numFmtId="0" fontId="177" fillId="0" borderId="191" xfId="45" applyFont="1" applyBorder="1" applyAlignment="1">
      <alignment horizontal="center" vertical="center" wrapText="1"/>
    </xf>
    <xf numFmtId="0" fontId="177" fillId="0" borderId="18" xfId="45" applyFont="1" applyBorder="1" applyAlignment="1">
      <alignment horizontal="center" vertical="center"/>
    </xf>
    <xf numFmtId="0" fontId="177" fillId="0" borderId="18" xfId="45" applyFont="1" applyBorder="1" applyAlignment="1">
      <alignment horizontal="center" vertical="center" wrapText="1"/>
    </xf>
    <xf numFmtId="10" fontId="177" fillId="0" borderId="18" xfId="45" applyNumberFormat="1" applyFont="1" applyBorder="1" applyAlignment="1">
      <alignment horizontal="center" vertical="center" wrapText="1"/>
    </xf>
    <xf numFmtId="175" fontId="177" fillId="80" borderId="109" xfId="59" applyFont="1" applyFill="1" applyBorder="1" applyAlignment="1">
      <alignment horizontal="center" vertical="center" wrapText="1"/>
    </xf>
    <xf numFmtId="15" fontId="51" fillId="0" borderId="192" xfId="45" applyNumberFormat="1" applyFont="1" applyBorder="1" applyAlignment="1">
      <alignment horizontal="center" vertical="center" textRotation="90"/>
    </xf>
    <xf numFmtId="15" fontId="51" fillId="0" borderId="193" xfId="45" applyNumberFormat="1" applyFont="1" applyBorder="1" applyAlignment="1">
      <alignment horizontal="center" vertical="center" textRotation="90"/>
    </xf>
    <xf numFmtId="15" fontId="51" fillId="0" borderId="194" xfId="45" applyNumberFormat="1" applyFont="1" applyBorder="1" applyAlignment="1">
      <alignment horizontal="center" vertical="center" textRotation="90"/>
    </xf>
    <xf numFmtId="212" fontId="177" fillId="78" borderId="195" xfId="59" applyNumberFormat="1" applyFont="1" applyFill="1" applyBorder="1" applyAlignment="1">
      <alignment horizontal="center" vertical="center" textRotation="90" wrapText="1"/>
    </xf>
    <xf numFmtId="10" fontId="219" fillId="0" borderId="130" xfId="51" applyNumberFormat="1" applyFont="1" applyBorder="1" applyAlignment="1">
      <alignment horizontal="center"/>
    </xf>
    <xf numFmtId="10" fontId="204" fillId="22" borderId="130" xfId="56" applyNumberFormat="1" applyFont="1" applyFill="1" applyBorder="1" applyAlignment="1" applyProtection="1">
      <alignment horizontal="center" vertical="top" wrapText="1"/>
      <protection locked="0" hidden="1"/>
    </xf>
    <xf numFmtId="10" fontId="245" fillId="0" borderId="130" xfId="56" applyNumberFormat="1" applyFont="1" applyBorder="1" applyAlignment="1">
      <alignment horizontal="center"/>
    </xf>
    <xf numFmtId="197" fontId="204" fillId="46" borderId="136" xfId="51" applyNumberFormat="1" applyFont="1" applyFill="1" applyBorder="1" applyAlignment="1">
      <alignment horizontal="center" vertical="center" textRotation="90"/>
    </xf>
    <xf numFmtId="0" fontId="249" fillId="0" borderId="130" xfId="45" applyFont="1" applyBorder="1" applyAlignment="1" applyProtection="1">
      <alignment horizontal="center" vertical="center" wrapText="1"/>
      <protection locked="0"/>
    </xf>
    <xf numFmtId="0" fontId="249" fillId="0" borderId="130" xfId="45" applyFont="1" applyBorder="1" applyAlignment="1">
      <alignment horizontal="center" vertical="center"/>
    </xf>
    <xf numFmtId="0" fontId="249" fillId="0" borderId="130" xfId="45" applyFont="1" applyBorder="1" applyAlignment="1">
      <alignment horizontal="center" vertical="center" wrapText="1"/>
    </xf>
    <xf numFmtId="0" fontId="249" fillId="0" borderId="159" xfId="45" applyFont="1" applyBorder="1" applyAlignment="1">
      <alignment horizontal="center" vertical="center" wrapText="1"/>
    </xf>
    <xf numFmtId="0" fontId="219" fillId="0" borderId="130" xfId="51" applyFont="1" applyBorder="1" applyAlignment="1">
      <alignment horizontal="center"/>
    </xf>
    <xf numFmtId="10" fontId="173" fillId="12" borderId="138" xfId="45" applyNumberFormat="1" applyFont="1" applyFill="1" applyBorder="1" applyAlignment="1">
      <alignment horizontal="center" vertical="center"/>
    </xf>
    <xf numFmtId="4" fontId="58" fillId="12" borderId="138" xfId="45" applyNumberFormat="1" applyFont="1" applyFill="1" applyBorder="1" applyAlignment="1">
      <alignment horizontal="center" vertical="center"/>
    </xf>
    <xf numFmtId="175" fontId="176" fillId="12" borderId="138" xfId="51" applyNumberFormat="1" applyFont="1" applyFill="1" applyBorder="1" applyAlignment="1">
      <alignment horizontal="center" vertical="center"/>
    </xf>
    <xf numFmtId="0" fontId="53" fillId="12" borderId="138" xfId="45" applyFont="1" applyFill="1" applyBorder="1" applyAlignment="1">
      <alignment horizontal="center" vertical="center" wrapText="1"/>
    </xf>
    <xf numFmtId="0" fontId="53" fillId="12" borderId="138" xfId="45" applyFont="1" applyFill="1" applyBorder="1" applyAlignment="1">
      <alignment horizontal="center" vertical="center"/>
    </xf>
    <xf numFmtId="0" fontId="53" fillId="12" borderId="196" xfId="45" applyFont="1" applyFill="1" applyBorder="1" applyAlignment="1">
      <alignment horizontal="center" vertical="center" wrapText="1"/>
    </xf>
    <xf numFmtId="219" fontId="250" fillId="82" borderId="180" xfId="57" applyNumberFormat="1" applyFont="1" applyFill="1" applyBorder="1" applyAlignment="1">
      <alignment horizontal="center" vertical="center"/>
    </xf>
    <xf numFmtId="197" fontId="250" fillId="82" borderId="180" xfId="57" applyNumberFormat="1" applyFont="1" applyFill="1" applyBorder="1" applyAlignment="1">
      <alignment horizontal="center" vertical="center"/>
    </xf>
    <xf numFmtId="197" fontId="204" fillId="46" borderId="197" xfId="51" applyNumberFormat="1" applyFont="1" applyFill="1" applyBorder="1" applyAlignment="1">
      <alignment horizontal="center" vertical="center"/>
    </xf>
    <xf numFmtId="197" fontId="204" fillId="82" borderId="179" xfId="51" applyNumberFormat="1" applyFont="1" applyFill="1" applyBorder="1" applyAlignment="1">
      <alignment horizontal="center" vertical="center"/>
    </xf>
    <xf numFmtId="197" fontId="219" fillId="0" borderId="179" xfId="51" applyNumberFormat="1" applyFont="1" applyBorder="1" applyAlignment="1">
      <alignment horizontal="center" vertical="center"/>
    </xf>
    <xf numFmtId="197" fontId="204" fillId="82" borderId="182" xfId="51" applyNumberFormat="1" applyFont="1" applyFill="1" applyBorder="1" applyAlignment="1">
      <alignment horizontal="center" vertical="center"/>
    </xf>
    <xf numFmtId="197" fontId="204" fillId="82" borderId="189" xfId="51" applyNumberFormat="1" applyFont="1" applyFill="1" applyBorder="1" applyAlignment="1">
      <alignment horizontal="center" vertical="center"/>
    </xf>
    <xf numFmtId="197" fontId="249" fillId="0" borderId="179" xfId="56" applyNumberFormat="1" applyFont="1" applyFill="1" applyBorder="1" applyAlignment="1">
      <alignment horizontal="center" vertical="center" wrapText="1"/>
    </xf>
    <xf numFmtId="197" fontId="249" fillId="0" borderId="185" xfId="56" applyNumberFormat="1" applyFont="1" applyFill="1" applyBorder="1" applyAlignment="1">
      <alignment horizontal="center" vertical="center" wrapText="1"/>
    </xf>
    <xf numFmtId="0" fontId="219" fillId="0" borderId="130" xfId="51" applyFont="1" applyBorder="1" applyAlignment="1">
      <alignment horizontal="center" vertical="center" wrapText="1"/>
    </xf>
    <xf numFmtId="0" fontId="219" fillId="0" borderId="130" xfId="51" applyFont="1" applyBorder="1" applyAlignment="1">
      <alignment horizontal="center" vertical="center"/>
    </xf>
    <xf numFmtId="0" fontId="219" fillId="0" borderId="159" xfId="51" applyFont="1" applyBorder="1" applyAlignment="1">
      <alignment horizontal="center"/>
    </xf>
    <xf numFmtId="0" fontId="250" fillId="82" borderId="130" xfId="45" applyFont="1" applyFill="1" applyBorder="1" applyAlignment="1" applyProtection="1">
      <alignment horizontal="center" vertical="center" wrapText="1"/>
      <protection locked="0"/>
    </xf>
    <xf numFmtId="0" fontId="250" fillId="82" borderId="130" xfId="45" applyFont="1" applyFill="1" applyBorder="1" applyAlignment="1">
      <alignment horizontal="center" vertical="center"/>
    </xf>
    <xf numFmtId="0" fontId="250" fillId="82" borderId="130" xfId="45" applyFont="1" applyFill="1" applyBorder="1" applyAlignment="1">
      <alignment horizontal="center" vertical="center" wrapText="1"/>
    </xf>
    <xf numFmtId="0" fontId="250" fillId="82" borderId="159" xfId="45" applyFont="1" applyFill="1" applyBorder="1" applyAlignment="1">
      <alignment horizontal="center" vertical="center" wrapText="1"/>
    </xf>
    <xf numFmtId="197" fontId="219" fillId="67" borderId="175" xfId="51" applyNumberFormat="1" applyFont="1" applyFill="1" applyBorder="1" applyAlignment="1">
      <alignment horizontal="center" vertical="center"/>
    </xf>
    <xf numFmtId="197" fontId="219" fillId="67" borderId="179" xfId="51" applyNumberFormat="1" applyFont="1" applyFill="1" applyBorder="1" applyAlignment="1">
      <alignment horizontal="center" vertical="center"/>
    </xf>
    <xf numFmtId="197" fontId="219" fillId="67" borderId="180" xfId="51" applyNumberFormat="1" applyFont="1" applyFill="1" applyBorder="1" applyAlignment="1">
      <alignment horizontal="center" vertical="center"/>
    </xf>
    <xf numFmtId="197" fontId="219" fillId="67" borderId="182" xfId="51" applyNumberFormat="1" applyFont="1" applyFill="1" applyBorder="1" applyAlignment="1">
      <alignment horizontal="center" vertical="center"/>
    </xf>
    <xf numFmtId="197" fontId="219" fillId="67" borderId="35" xfId="51" applyNumberFormat="1" applyFont="1" applyFill="1" applyBorder="1" applyAlignment="1">
      <alignment horizontal="center" vertical="center"/>
    </xf>
    <xf numFmtId="197" fontId="219" fillId="67" borderId="189" xfId="51" applyNumberFormat="1" applyFont="1" applyFill="1" applyBorder="1" applyAlignment="1">
      <alignment horizontal="center" vertical="center"/>
    </xf>
    <xf numFmtId="197" fontId="219" fillId="67" borderId="175" xfId="51" applyNumberFormat="1" applyFont="1" applyFill="1" applyBorder="1" applyAlignment="1">
      <alignment horizontal="center"/>
    </xf>
    <xf numFmtId="197" fontId="219" fillId="67" borderId="179" xfId="51" applyNumberFormat="1" applyFont="1" applyFill="1" applyBorder="1" applyAlignment="1">
      <alignment horizontal="center"/>
    </xf>
    <xf numFmtId="197" fontId="219" fillId="67" borderId="176" xfId="51" applyNumberFormat="1" applyFont="1" applyFill="1" applyBorder="1" applyAlignment="1">
      <alignment horizontal="center" vertical="center"/>
    </xf>
    <xf numFmtId="197" fontId="219" fillId="67" borderId="185" xfId="51" applyNumberFormat="1" applyFont="1" applyFill="1" applyBorder="1" applyAlignment="1">
      <alignment horizontal="center" vertical="center"/>
    </xf>
    <xf numFmtId="0" fontId="250" fillId="46" borderId="130" xfId="45" applyFont="1" applyFill="1" applyBorder="1" applyAlignment="1" applyProtection="1">
      <alignment horizontal="center" vertical="center" wrapText="1"/>
      <protection locked="0"/>
    </xf>
    <xf numFmtId="0" fontId="250" fillId="46" borderId="130" xfId="45" applyFont="1" applyFill="1" applyBorder="1" applyAlignment="1">
      <alignment horizontal="center" vertical="center"/>
    </xf>
    <xf numFmtId="0" fontId="250" fillId="46" borderId="130" xfId="45" applyFont="1" applyFill="1" applyBorder="1" applyAlignment="1">
      <alignment horizontal="center" vertical="center" wrapText="1"/>
    </xf>
    <xf numFmtId="0" fontId="250" fillId="46" borderId="159" xfId="45" applyFont="1" applyFill="1" applyBorder="1" applyAlignment="1">
      <alignment horizontal="center" vertical="center" wrapText="1"/>
    </xf>
    <xf numFmtId="219" fontId="250" fillId="46" borderId="130" xfId="57" applyNumberFormat="1" applyFont="1" applyFill="1" applyBorder="1" applyAlignment="1">
      <alignment horizontal="center" vertical="center"/>
    </xf>
    <xf numFmtId="219" fontId="250" fillId="82" borderId="130" xfId="57" applyNumberFormat="1" applyFont="1" applyFill="1" applyBorder="1" applyAlignment="1">
      <alignment horizontal="center" vertical="center"/>
    </xf>
    <xf numFmtId="219" fontId="249" fillId="0" borderId="130" xfId="56" applyNumberFormat="1" applyFont="1" applyFill="1" applyBorder="1" applyAlignment="1">
      <alignment horizontal="center" vertical="center"/>
    </xf>
    <xf numFmtId="219" fontId="249" fillId="0" borderId="130" xfId="58" applyNumberFormat="1" applyFont="1" applyFill="1" applyBorder="1" applyAlignment="1">
      <alignment horizontal="center" vertical="center" wrapText="1"/>
    </xf>
    <xf numFmtId="219" fontId="249" fillId="0" borderId="130" xfId="57" applyNumberFormat="1" applyFont="1" applyFill="1" applyBorder="1" applyAlignment="1">
      <alignment horizontal="center" vertical="center"/>
    </xf>
    <xf numFmtId="219" fontId="250" fillId="82" borderId="130" xfId="58" applyNumberFormat="1" applyFont="1" applyFill="1" applyBorder="1" applyAlignment="1">
      <alignment horizontal="center" vertical="center" wrapText="1"/>
    </xf>
    <xf numFmtId="219" fontId="219" fillId="0" borderId="130" xfId="51" applyNumberFormat="1" applyFont="1" applyBorder="1" applyAlignment="1">
      <alignment horizontal="center"/>
    </xf>
    <xf numFmtId="219" fontId="250" fillId="82" borderId="130" xfId="56" applyNumberFormat="1" applyFont="1" applyFill="1" applyBorder="1" applyAlignment="1">
      <alignment horizontal="center" vertical="center"/>
    </xf>
    <xf numFmtId="197" fontId="250" fillId="46" borderId="130" xfId="57" applyNumberFormat="1" applyFont="1" applyFill="1" applyBorder="1" applyAlignment="1">
      <alignment horizontal="center" vertical="center"/>
    </xf>
    <xf numFmtId="197" fontId="250" fillId="82" borderId="130" xfId="57" applyNumberFormat="1" applyFont="1" applyFill="1" applyBorder="1" applyAlignment="1">
      <alignment horizontal="center" vertical="center"/>
    </xf>
    <xf numFmtId="197" fontId="249" fillId="0" borderId="130" xfId="57" applyNumberFormat="1" applyFont="1" applyFill="1" applyBorder="1" applyAlignment="1">
      <alignment horizontal="center" vertical="center"/>
    </xf>
    <xf numFmtId="197" fontId="249" fillId="0" borderId="130" xfId="58" applyNumberFormat="1" applyFont="1" applyFill="1" applyBorder="1" applyAlignment="1">
      <alignment horizontal="center" vertical="center" wrapText="1"/>
    </xf>
    <xf numFmtId="197" fontId="250" fillId="82" borderId="130" xfId="58" applyNumberFormat="1" applyFont="1" applyFill="1" applyBorder="1" applyAlignment="1">
      <alignment horizontal="center" vertical="center" wrapText="1"/>
    </xf>
    <xf numFmtId="197" fontId="249" fillId="0" borderId="130" xfId="51" applyNumberFormat="1" applyFont="1" applyBorder="1" applyAlignment="1">
      <alignment horizontal="center" vertical="center"/>
    </xf>
    <xf numFmtId="197" fontId="204" fillId="46" borderId="130" xfId="51" applyNumberFormat="1" applyFont="1" applyFill="1" applyBorder="1" applyAlignment="1">
      <alignment horizontal="center" vertical="center"/>
    </xf>
    <xf numFmtId="197" fontId="204" fillId="46" borderId="130" xfId="51" applyNumberFormat="1" applyFont="1" applyFill="1" applyBorder="1" applyAlignment="1">
      <alignment horizontal="center" vertical="center" textRotation="90"/>
    </xf>
    <xf numFmtId="197" fontId="204" fillId="82" borderId="130" xfId="51" applyNumberFormat="1" applyFont="1" applyFill="1" applyBorder="1" applyAlignment="1">
      <alignment horizontal="center" vertical="center"/>
    </xf>
    <xf numFmtId="197" fontId="219" fillId="67" borderId="130" xfId="51" applyNumberFormat="1" applyFont="1" applyFill="1" applyBorder="1" applyAlignment="1">
      <alignment horizontal="center" vertical="center"/>
    </xf>
    <xf numFmtId="197" fontId="219" fillId="67" borderId="130" xfId="51" applyNumberFormat="1" applyFont="1" applyFill="1" applyBorder="1" applyAlignment="1">
      <alignment horizontal="center"/>
    </xf>
    <xf numFmtId="197" fontId="204" fillId="83" borderId="175" xfId="51" applyNumberFormat="1" applyFont="1" applyFill="1" applyBorder="1" applyAlignment="1">
      <alignment horizontal="center" vertical="center"/>
    </xf>
    <xf numFmtId="197" fontId="219" fillId="83" borderId="175" xfId="51" applyNumberFormat="1" applyFont="1" applyFill="1" applyBorder="1" applyAlignment="1">
      <alignment horizontal="center" vertical="center"/>
    </xf>
    <xf numFmtId="197" fontId="219" fillId="83" borderId="180" xfId="51" applyNumberFormat="1" applyFont="1" applyFill="1" applyBorder="1" applyAlignment="1">
      <alignment horizontal="center" vertical="center"/>
    </xf>
    <xf numFmtId="197" fontId="219" fillId="83" borderId="35" xfId="51" applyNumberFormat="1" applyFont="1" applyFill="1" applyBorder="1" applyAlignment="1">
      <alignment horizontal="center" vertical="center"/>
    </xf>
    <xf numFmtId="197" fontId="219" fillId="83" borderId="175" xfId="51" applyNumberFormat="1" applyFont="1" applyFill="1" applyBorder="1" applyAlignment="1">
      <alignment horizontal="center"/>
    </xf>
    <xf numFmtId="197" fontId="219" fillId="83" borderId="176" xfId="51" applyNumberFormat="1" applyFont="1" applyFill="1" applyBorder="1" applyAlignment="1">
      <alignment horizontal="center" vertical="center"/>
    </xf>
    <xf numFmtId="197" fontId="204" fillId="83" borderId="130" xfId="51" applyNumberFormat="1" applyFont="1" applyFill="1" applyBorder="1" applyAlignment="1">
      <alignment horizontal="center" vertical="center"/>
    </xf>
    <xf numFmtId="197" fontId="219" fillId="83" borderId="130" xfId="51" applyNumberFormat="1" applyFont="1" applyFill="1" applyBorder="1" applyAlignment="1">
      <alignment horizontal="center" vertical="center"/>
    </xf>
    <xf numFmtId="197" fontId="219" fillId="83" borderId="130" xfId="51" applyNumberFormat="1" applyFont="1" applyFill="1" applyBorder="1" applyAlignment="1">
      <alignment horizontal="center"/>
    </xf>
    <xf numFmtId="197" fontId="204" fillId="83" borderId="180" xfId="51" applyNumberFormat="1" applyFont="1" applyFill="1" applyBorder="1" applyAlignment="1">
      <alignment horizontal="center" vertical="center"/>
    </xf>
    <xf numFmtId="197" fontId="204" fillId="83" borderId="35" xfId="51" applyNumberFormat="1" applyFont="1" applyFill="1" applyBorder="1" applyAlignment="1">
      <alignment horizontal="center" vertical="center"/>
    </xf>
    <xf numFmtId="197" fontId="249" fillId="83" borderId="175" xfId="56" applyNumberFormat="1" applyFont="1" applyFill="1" applyBorder="1" applyAlignment="1">
      <alignment horizontal="center" vertical="center" wrapText="1"/>
    </xf>
    <xf numFmtId="197" fontId="249" fillId="83" borderId="176" xfId="56" applyNumberFormat="1" applyFont="1" applyFill="1" applyBorder="1" applyAlignment="1">
      <alignment horizontal="center" vertical="center" wrapText="1"/>
    </xf>
    <xf numFmtId="0" fontId="1" fillId="0" borderId="0" xfId="51" applyAlignment="1">
      <alignment wrapText="1"/>
    </xf>
    <xf numFmtId="0" fontId="238" fillId="0" borderId="0" xfId="51" applyFont="1" applyAlignment="1">
      <alignment wrapText="1"/>
    </xf>
    <xf numFmtId="0" fontId="79" fillId="0" borderId="0" xfId="51" applyFont="1" applyAlignment="1">
      <alignment wrapText="1"/>
    </xf>
    <xf numFmtId="0" fontId="51" fillId="0" borderId="167" xfId="45" applyFont="1" applyBorder="1" applyAlignment="1">
      <alignment horizontal="center" vertical="center" wrapText="1"/>
    </xf>
    <xf numFmtId="15" fontId="51" fillId="0" borderId="170" xfId="45" applyNumberFormat="1" applyFont="1" applyBorder="1" applyAlignment="1">
      <alignment horizontal="center" vertical="center" textRotation="90" wrapText="1"/>
    </xf>
    <xf numFmtId="0" fontId="236" fillId="46" borderId="184" xfId="51" applyFont="1" applyFill="1" applyBorder="1" applyAlignment="1">
      <alignment horizontal="center" wrapText="1"/>
    </xf>
    <xf numFmtId="197" fontId="204" fillId="82" borderId="175" xfId="51" applyNumberFormat="1" applyFont="1" applyFill="1" applyBorder="1" applyAlignment="1">
      <alignment horizontal="center" vertical="center" wrapText="1"/>
    </xf>
    <xf numFmtId="197" fontId="204" fillId="82" borderId="180" xfId="51" applyNumberFormat="1" applyFont="1" applyFill="1" applyBorder="1" applyAlignment="1">
      <alignment horizontal="center" vertical="center" wrapText="1"/>
    </xf>
    <xf numFmtId="197" fontId="219" fillId="0" borderId="175" xfId="51" applyNumberFormat="1" applyFont="1" applyBorder="1" applyAlignment="1">
      <alignment horizontal="center" vertical="center" wrapText="1"/>
    </xf>
    <xf numFmtId="0" fontId="70" fillId="23" borderId="0" xfId="45" applyFont="1" applyFill="1" applyAlignment="1">
      <alignment horizontal="centerContinuous" vertical="center" wrapText="1"/>
    </xf>
    <xf numFmtId="0" fontId="1" fillId="0" borderId="0" xfId="51" applyAlignment="1">
      <alignment horizontal="center" wrapText="1"/>
    </xf>
    <xf numFmtId="0" fontId="73" fillId="0" borderId="0" xfId="51" applyFont="1" applyAlignment="1">
      <alignment wrapText="1"/>
    </xf>
    <xf numFmtId="0" fontId="248" fillId="0" borderId="138" xfId="51" applyFont="1" applyBorder="1" applyAlignment="1">
      <alignment horizontal="center"/>
    </xf>
    <xf numFmtId="10" fontId="245" fillId="0" borderId="138" xfId="56" applyNumberFormat="1" applyFont="1" applyBorder="1"/>
    <xf numFmtId="0" fontId="248" fillId="0" borderId="138" xfId="51" applyFont="1" applyBorder="1" applyAlignment="1">
      <alignment vertical="center"/>
    </xf>
    <xf numFmtId="0" fontId="252" fillId="0" borderId="130" xfId="51" applyFont="1" applyBorder="1" applyAlignment="1">
      <alignment horizontal="center" vertical="center" wrapText="1"/>
    </xf>
    <xf numFmtId="0" fontId="254" fillId="50" borderId="130" xfId="51" applyFont="1" applyFill="1" applyBorder="1" applyAlignment="1">
      <alignment horizontal="center" vertical="center"/>
    </xf>
    <xf numFmtId="0" fontId="255" fillId="50" borderId="130" xfId="51" applyFont="1" applyFill="1" applyBorder="1"/>
    <xf numFmtId="0" fontId="247" fillId="0" borderId="130" xfId="51" applyFont="1" applyBorder="1" applyAlignment="1">
      <alignment horizontal="center"/>
    </xf>
    <xf numFmtId="0" fontId="246" fillId="46" borderId="130" xfId="51" applyFont="1" applyFill="1" applyBorder="1" applyAlignment="1">
      <alignment horizontal="center" vertical="center" wrapText="1"/>
    </xf>
    <xf numFmtId="0" fontId="246" fillId="46" borderId="130" xfId="51" applyFont="1" applyFill="1" applyBorder="1" applyAlignment="1">
      <alignment horizontal="center" vertical="center"/>
    </xf>
    <xf numFmtId="0" fontId="247" fillId="46" borderId="130" xfId="51" applyFont="1" applyFill="1" applyBorder="1" applyAlignment="1">
      <alignment horizontal="center"/>
    </xf>
    <xf numFmtId="0" fontId="252" fillId="0" borderId="130" xfId="51" applyFont="1" applyBorder="1" applyAlignment="1">
      <alignment horizontal="left" vertical="center"/>
    </xf>
    <xf numFmtId="10" fontId="245" fillId="0" borderId="130" xfId="56" applyNumberFormat="1" applyFont="1" applyFill="1" applyBorder="1" applyAlignment="1">
      <alignment horizontal="center"/>
    </xf>
    <xf numFmtId="0" fontId="248" fillId="0" borderId="130" xfId="51" applyFont="1" applyBorder="1" applyAlignment="1">
      <alignment horizontal="center" vertical="center"/>
    </xf>
    <xf numFmtId="14" fontId="244" fillId="42" borderId="130" xfId="60" applyNumberFormat="1" applyFont="1" applyFill="1" applyBorder="1" applyAlignment="1">
      <alignment horizontal="center" vertical="center" wrapText="1"/>
    </xf>
    <xf numFmtId="14" fontId="244" fillId="42" borderId="130" xfId="60" applyNumberFormat="1" applyFont="1" applyFill="1" applyBorder="1" applyAlignment="1">
      <alignment horizontal="left" vertical="center" wrapText="1"/>
    </xf>
    <xf numFmtId="0" fontId="244" fillId="42" borderId="130" xfId="60" applyFont="1" applyFill="1" applyBorder="1" applyAlignment="1">
      <alignment horizontal="center" vertical="center" wrapText="1"/>
    </xf>
    <xf numFmtId="14" fontId="242" fillId="42" borderId="130" xfId="60" applyNumberFormat="1" applyFont="1" applyFill="1" applyBorder="1" applyAlignment="1">
      <alignment horizontal="left" vertical="center" wrapText="1"/>
    </xf>
    <xf numFmtId="14" fontId="242" fillId="42" borderId="130" xfId="60" applyNumberFormat="1" applyFont="1" applyFill="1" applyBorder="1" applyAlignment="1">
      <alignment horizontal="center" vertical="center" wrapText="1"/>
    </xf>
    <xf numFmtId="14" fontId="244" fillId="55" borderId="130" xfId="60" applyNumberFormat="1" applyFont="1" applyFill="1" applyBorder="1" applyAlignment="1">
      <alignment horizontal="center" vertical="center" wrapText="1"/>
    </xf>
    <xf numFmtId="14" fontId="239" fillId="55" borderId="130" xfId="60" applyNumberFormat="1" applyFont="1" applyFill="1" applyBorder="1" applyAlignment="1">
      <alignment horizontal="left" vertical="center" wrapText="1"/>
    </xf>
    <xf numFmtId="0" fontId="239" fillId="55" borderId="130" xfId="60" applyFont="1" applyFill="1" applyBorder="1" applyAlignment="1">
      <alignment horizontal="center" vertical="center"/>
    </xf>
    <xf numFmtId="14" fontId="239" fillId="55" borderId="130" xfId="60" applyNumberFormat="1" applyFont="1" applyFill="1" applyBorder="1" applyAlignment="1">
      <alignment horizontal="center" vertical="center" wrapText="1"/>
    </xf>
    <xf numFmtId="0" fontId="239" fillId="55" borderId="130" xfId="60" applyFont="1" applyFill="1" applyBorder="1" applyAlignment="1">
      <alignment horizontal="center" vertical="center" wrapText="1"/>
    </xf>
    <xf numFmtId="191" fontId="244" fillId="42" borderId="130" xfId="60" applyNumberFormat="1" applyFont="1" applyFill="1" applyBorder="1" applyAlignment="1">
      <alignment horizontal="center" vertical="center" wrapText="1"/>
    </xf>
    <xf numFmtId="218" fontId="254" fillId="50" borderId="130" xfId="51" applyNumberFormat="1" applyFont="1" applyFill="1" applyBorder="1" applyAlignment="1" applyProtection="1">
      <alignment horizontal="center" vertical="top" wrapText="1"/>
      <protection locked="0" hidden="1"/>
    </xf>
    <xf numFmtId="218" fontId="255" fillId="50" borderId="130" xfId="51" applyNumberFormat="1" applyFont="1" applyFill="1" applyBorder="1" applyAlignment="1">
      <alignment horizontal="center"/>
    </xf>
    <xf numFmtId="205" fontId="254" fillId="50" borderId="130" xfId="42" applyNumberFormat="1" applyFont="1" applyFill="1" applyBorder="1" applyAlignment="1" applyProtection="1">
      <alignment horizontal="center" vertical="top" wrapText="1"/>
      <protection locked="0" hidden="1"/>
    </xf>
    <xf numFmtId="205" fontId="255" fillId="50" borderId="130" xfId="42" applyNumberFormat="1" applyFont="1" applyFill="1" applyBorder="1" applyAlignment="1" applyProtection="1">
      <alignment horizontal="center" vertical="top" wrapText="1"/>
      <protection locked="0" hidden="1"/>
    </xf>
    <xf numFmtId="10" fontId="250" fillId="56" borderId="130" xfId="56" applyNumberFormat="1" applyFont="1" applyFill="1" applyBorder="1" applyAlignment="1" applyProtection="1">
      <alignment horizontal="center" vertical="top" wrapText="1"/>
      <protection locked="0" hidden="1"/>
    </xf>
    <xf numFmtId="14" fontId="241" fillId="55" borderId="130" xfId="60" applyNumberFormat="1" applyFont="1" applyFill="1" applyBorder="1" applyAlignment="1">
      <alignment horizontal="left" vertical="center" wrapText="1"/>
    </xf>
    <xf numFmtId="191" fontId="239" fillId="55" borderId="130" xfId="60" applyNumberFormat="1" applyFont="1" applyFill="1" applyBorder="1" applyAlignment="1">
      <alignment horizontal="center" vertical="center" wrapText="1"/>
    </xf>
    <xf numFmtId="217" fontId="244" fillId="55" borderId="130" xfId="60" applyNumberFormat="1" applyFont="1" applyFill="1" applyBorder="1" applyAlignment="1">
      <alignment horizontal="center" vertical="center" wrapText="1"/>
    </xf>
    <xf numFmtId="191" fontId="244" fillId="0" borderId="130" xfId="60" applyNumberFormat="1" applyFont="1" applyBorder="1" applyAlignment="1">
      <alignment horizontal="center" vertical="center" wrapText="1"/>
    </xf>
    <xf numFmtId="49" fontId="244" fillId="42" borderId="130" xfId="60" applyNumberFormat="1" applyFont="1" applyFill="1" applyBorder="1" applyAlignment="1">
      <alignment horizontal="center" vertical="center" wrapText="1"/>
    </xf>
    <xf numFmtId="0" fontId="242" fillId="42" borderId="130" xfId="39" applyFont="1" applyFill="1" applyBorder="1" applyAlignment="1">
      <alignment horizontal="center" vertical="center" wrapText="1"/>
    </xf>
    <xf numFmtId="0" fontId="241" fillId="55" borderId="130" xfId="39" applyFont="1" applyFill="1" applyBorder="1" applyAlignment="1">
      <alignment horizontal="center" vertical="center" wrapText="1"/>
    </xf>
    <xf numFmtId="0" fontId="93" fillId="0" borderId="0" xfId="0" applyFont="1"/>
    <xf numFmtId="0" fontId="32" fillId="0" borderId="0" xfId="0" applyFont="1"/>
    <xf numFmtId="14" fontId="32" fillId="86" borderId="0" xfId="60" applyNumberFormat="1" applyFont="1" applyFill="1" applyAlignment="1">
      <alignment horizontal="center" vertical="center" wrapText="1"/>
    </xf>
    <xf numFmtId="49" fontId="32" fillId="84" borderId="0" xfId="60" applyNumberFormat="1" applyFont="1" applyFill="1" applyAlignment="1">
      <alignment horizontal="center" vertical="center" wrapText="1"/>
    </xf>
    <xf numFmtId="0" fontId="32" fillId="0" borderId="0" xfId="0" applyFont="1" applyAlignment="1">
      <alignment horizontal="center"/>
    </xf>
    <xf numFmtId="14" fontId="32" fillId="85" borderId="0" xfId="60" applyNumberFormat="1" applyFont="1" applyFill="1" applyAlignment="1">
      <alignment horizontal="center" vertical="center" wrapText="1"/>
    </xf>
    <xf numFmtId="0" fontId="32" fillId="72" borderId="0" xfId="0" applyFont="1" applyFill="1" applyAlignment="1">
      <alignment horizontal="center"/>
    </xf>
    <xf numFmtId="14" fontId="256" fillId="0" borderId="130" xfId="60" applyNumberFormat="1" applyFont="1" applyBorder="1" applyAlignment="1">
      <alignment horizontal="left" vertical="center" wrapText="1"/>
    </xf>
    <xf numFmtId="0" fontId="32" fillId="58" borderId="0" xfId="0" applyFont="1" applyFill="1" applyAlignment="1">
      <alignment horizontal="center"/>
    </xf>
    <xf numFmtId="0" fontId="153" fillId="0" borderId="0" xfId="39" applyFont="1" applyAlignment="1">
      <alignment vertical="center"/>
    </xf>
    <xf numFmtId="0" fontId="154" fillId="0" borderId="0" xfId="39" applyFont="1" applyAlignment="1">
      <alignment horizontal="left" vertical="center"/>
    </xf>
    <xf numFmtId="0" fontId="154" fillId="0" borderId="0" xfId="39" applyFont="1" applyAlignment="1">
      <alignment vertical="center"/>
    </xf>
    <xf numFmtId="0" fontId="168" fillId="68" borderId="84" xfId="44" applyFont="1" applyFill="1" applyBorder="1" applyAlignment="1">
      <alignment horizontal="center" vertical="center"/>
    </xf>
    <xf numFmtId="0" fontId="51" fillId="0" borderId="21" xfId="44" applyFont="1" applyBorder="1" applyAlignment="1">
      <alignment horizontal="left" vertical="center"/>
    </xf>
    <xf numFmtId="0" fontId="51" fillId="0" borderId="22" xfId="44" applyFont="1" applyBorder="1" applyAlignment="1">
      <alignment horizontal="left" vertical="center"/>
    </xf>
    <xf numFmtId="15" fontId="70" fillId="23" borderId="0" xfId="41" applyNumberFormat="1" applyFont="1" applyFill="1" applyAlignment="1">
      <alignment horizontal="left"/>
    </xf>
    <xf numFmtId="0" fontId="163" fillId="23" borderId="19" xfId="41" quotePrefix="1" applyFont="1" applyFill="1" applyBorder="1" applyAlignment="1">
      <alignment horizontal="left" vertical="center" wrapText="1"/>
    </xf>
    <xf numFmtId="0" fontId="163" fillId="23" borderId="11" xfId="41" applyFont="1" applyFill="1" applyBorder="1" applyAlignment="1">
      <alignment horizontal="left" vertical="center"/>
    </xf>
    <xf numFmtId="0" fontId="163" fillId="23" borderId="20" xfId="41" applyFont="1" applyFill="1" applyBorder="1" applyAlignment="1">
      <alignment horizontal="left" vertical="center"/>
    </xf>
    <xf numFmtId="0" fontId="163" fillId="23" borderId="18" xfId="41" quotePrefix="1" applyFont="1" applyFill="1" applyBorder="1" applyAlignment="1">
      <alignment horizontal="left" vertical="center" wrapText="1"/>
    </xf>
    <xf numFmtId="0" fontId="163" fillId="23" borderId="0" xfId="41" applyFont="1" applyFill="1" applyAlignment="1">
      <alignment horizontal="left" vertical="center"/>
    </xf>
    <xf numFmtId="0" fontId="163" fillId="23" borderId="14" xfId="41" applyFont="1" applyFill="1" applyBorder="1" applyAlignment="1">
      <alignment horizontal="left" vertical="center"/>
    </xf>
    <xf numFmtId="0" fontId="163" fillId="23" borderId="18" xfId="41" applyFont="1" applyFill="1" applyBorder="1" applyAlignment="1">
      <alignment horizontal="left" vertical="center"/>
    </xf>
    <xf numFmtId="0" fontId="163" fillId="23" borderId="12" xfId="41" applyFont="1" applyFill="1" applyBorder="1" applyAlignment="1">
      <alignment horizontal="left" vertical="center"/>
    </xf>
    <xf numFmtId="0" fontId="163" fillId="23" borderId="13" xfId="41" applyFont="1" applyFill="1" applyBorder="1" applyAlignment="1">
      <alignment horizontal="left" vertical="center"/>
    </xf>
    <xf numFmtId="0" fontId="163" fillId="23" borderId="15" xfId="41" applyFont="1" applyFill="1" applyBorder="1" applyAlignment="1">
      <alignment horizontal="left" vertical="center"/>
    </xf>
    <xf numFmtId="0" fontId="163" fillId="23" borderId="19" xfId="41" quotePrefix="1" applyFont="1" applyFill="1" applyBorder="1" applyAlignment="1">
      <alignment horizontal="left" vertical="top" wrapText="1"/>
    </xf>
    <xf numFmtId="0" fontId="163" fillId="23" borderId="11" xfId="41" applyFont="1" applyFill="1" applyBorder="1" applyAlignment="1">
      <alignment horizontal="left" vertical="top"/>
    </xf>
    <xf numFmtId="0" fontId="163" fillId="23" borderId="20" xfId="41" applyFont="1" applyFill="1" applyBorder="1" applyAlignment="1">
      <alignment horizontal="left" vertical="top"/>
    </xf>
    <xf numFmtId="0" fontId="163" fillId="23" borderId="18" xfId="41" quotePrefix="1" applyFont="1" applyFill="1" applyBorder="1" applyAlignment="1">
      <alignment horizontal="left" vertical="top" wrapText="1"/>
    </xf>
    <xf numFmtId="0" fontId="163" fillId="23" borderId="0" xfId="41" applyFont="1" applyFill="1" applyAlignment="1">
      <alignment horizontal="left" vertical="top"/>
    </xf>
    <xf numFmtId="0" fontId="163" fillId="23" borderId="14" xfId="41" applyFont="1" applyFill="1" applyBorder="1" applyAlignment="1">
      <alignment horizontal="left" vertical="top"/>
    </xf>
    <xf numFmtId="0" fontId="163" fillId="23" borderId="12" xfId="41" applyFont="1" applyFill="1" applyBorder="1" applyAlignment="1">
      <alignment horizontal="left" vertical="top"/>
    </xf>
    <xf numFmtId="0" fontId="163" fillId="23" borderId="13" xfId="41" applyFont="1" applyFill="1" applyBorder="1" applyAlignment="1">
      <alignment horizontal="left" vertical="top"/>
    </xf>
    <xf numFmtId="0" fontId="163" fillId="23" borderId="15" xfId="41" applyFont="1" applyFill="1" applyBorder="1" applyAlignment="1">
      <alignment horizontal="left" vertical="top"/>
    </xf>
    <xf numFmtId="0" fontId="163" fillId="23" borderId="11" xfId="41" quotePrefix="1" applyFont="1" applyFill="1" applyBorder="1" applyAlignment="1">
      <alignment horizontal="left" vertical="top" wrapText="1"/>
    </xf>
    <xf numFmtId="0" fontId="163" fillId="23" borderId="20" xfId="41" quotePrefix="1" applyFont="1" applyFill="1" applyBorder="1" applyAlignment="1">
      <alignment horizontal="left" vertical="top" wrapText="1"/>
    </xf>
    <xf numFmtId="0" fontId="163" fillId="23" borderId="0" xfId="41" quotePrefix="1" applyFont="1" applyFill="1" applyAlignment="1">
      <alignment horizontal="left" vertical="top" wrapText="1"/>
    </xf>
    <xf numFmtId="0" fontId="163" fillId="23" borderId="14" xfId="41" quotePrefix="1" applyFont="1" applyFill="1" applyBorder="1" applyAlignment="1">
      <alignment horizontal="left" vertical="top" wrapText="1"/>
    </xf>
    <xf numFmtId="0" fontId="163" fillId="23" borderId="12" xfId="41" quotePrefix="1" applyFont="1" applyFill="1" applyBorder="1" applyAlignment="1">
      <alignment horizontal="left" vertical="top" wrapText="1"/>
    </xf>
    <xf numFmtId="0" fontId="163" fillId="23" borderId="13" xfId="41" quotePrefix="1" applyFont="1" applyFill="1" applyBorder="1" applyAlignment="1">
      <alignment horizontal="left" vertical="top" wrapText="1"/>
    </xf>
    <xf numFmtId="0" fontId="163" fillId="23" borderId="15" xfId="41" quotePrefix="1" applyFont="1" applyFill="1" applyBorder="1" applyAlignment="1">
      <alignment horizontal="left" vertical="top" wrapText="1"/>
    </xf>
    <xf numFmtId="0" fontId="163" fillId="23" borderId="11" xfId="41" quotePrefix="1" applyFont="1" applyFill="1" applyBorder="1" applyAlignment="1">
      <alignment horizontal="left" vertical="top"/>
    </xf>
    <xf numFmtId="0" fontId="163" fillId="23" borderId="20" xfId="41" quotePrefix="1" applyFont="1" applyFill="1" applyBorder="1" applyAlignment="1">
      <alignment horizontal="left" vertical="top"/>
    </xf>
    <xf numFmtId="0" fontId="163" fillId="23" borderId="18" xfId="41" quotePrefix="1" applyFont="1" applyFill="1" applyBorder="1" applyAlignment="1">
      <alignment horizontal="left" vertical="top"/>
    </xf>
    <xf numFmtId="0" fontId="163" fillId="23" borderId="0" xfId="41" quotePrefix="1" applyFont="1" applyFill="1" applyAlignment="1">
      <alignment horizontal="left" vertical="top"/>
    </xf>
    <xf numFmtId="0" fontId="163" fillId="23" borderId="14" xfId="41" quotePrefix="1" applyFont="1" applyFill="1" applyBorder="1" applyAlignment="1">
      <alignment horizontal="left" vertical="top"/>
    </xf>
    <xf numFmtId="0" fontId="163" fillId="23" borderId="12" xfId="41" quotePrefix="1" applyFont="1" applyFill="1" applyBorder="1" applyAlignment="1">
      <alignment horizontal="left" vertical="top"/>
    </xf>
    <xf numFmtId="0" fontId="163" fillId="23" borderId="13" xfId="41" quotePrefix="1" applyFont="1" applyFill="1" applyBorder="1" applyAlignment="1">
      <alignment horizontal="left" vertical="top"/>
    </xf>
    <xf numFmtId="0" fontId="163" fillId="23" borderId="15" xfId="41" quotePrefix="1" applyFont="1" applyFill="1" applyBorder="1" applyAlignment="1">
      <alignment horizontal="left" vertical="top"/>
    </xf>
    <xf numFmtId="0" fontId="165" fillId="23" borderId="0" xfId="44" applyFont="1" applyFill="1" applyAlignment="1">
      <alignment horizontal="center" vertical="center"/>
    </xf>
    <xf numFmtId="0" fontId="84" fillId="23" borderId="0" xfId="44" applyFont="1" applyFill="1" applyAlignment="1">
      <alignment horizontal="center" vertical="center"/>
    </xf>
    <xf numFmtId="0" fontId="168" fillId="23" borderId="0" xfId="44" applyFont="1" applyFill="1" applyAlignment="1">
      <alignment horizontal="center" vertical="center"/>
    </xf>
    <xf numFmtId="4" fontId="161" fillId="0" borderId="82" xfId="41" applyNumberFormat="1" applyFont="1" applyBorder="1" applyAlignment="1">
      <alignment horizontal="center" vertical="center"/>
    </xf>
    <xf numFmtId="4" fontId="161" fillId="0" borderId="84" xfId="41" applyNumberFormat="1" applyFont="1" applyBorder="1" applyAlignment="1">
      <alignment horizontal="center" vertical="center"/>
    </xf>
    <xf numFmtId="4" fontId="160" fillId="0" borderId="84" xfId="41" applyNumberFormat="1" applyFont="1" applyBorder="1" applyAlignment="1">
      <alignment horizontal="center" vertical="center"/>
    </xf>
    <xf numFmtId="4" fontId="160" fillId="0" borderId="110" xfId="41" applyNumberFormat="1" applyFont="1" applyBorder="1" applyAlignment="1">
      <alignment horizontal="center" vertical="center"/>
    </xf>
    <xf numFmtId="4" fontId="161" fillId="0" borderId="82" xfId="41" applyNumberFormat="1" applyFont="1" applyBorder="1" applyAlignment="1">
      <alignment horizontal="center"/>
    </xf>
    <xf numFmtId="4" fontId="161" fillId="0" borderId="84" xfId="41" applyNumberFormat="1" applyFont="1" applyBorder="1" applyAlignment="1">
      <alignment horizontal="center"/>
    </xf>
    <xf numFmtId="4" fontId="160" fillId="0" borderId="84" xfId="43" applyNumberFormat="1" applyFont="1" applyFill="1" applyBorder="1" applyAlignment="1">
      <alignment horizontal="center"/>
    </xf>
    <xf numFmtId="4" fontId="160" fillId="0" borderId="110" xfId="43" applyNumberFormat="1" applyFont="1" applyFill="1" applyBorder="1" applyAlignment="1">
      <alignment horizontal="center"/>
    </xf>
    <xf numFmtId="0" fontId="157" fillId="23" borderId="51" xfId="41" applyFont="1" applyFill="1" applyBorder="1" applyAlignment="1">
      <alignment horizontal="center" vertical="center" wrapText="1"/>
    </xf>
    <xf numFmtId="0" fontId="157" fillId="23" borderId="52" xfId="41" applyFont="1" applyFill="1" applyBorder="1" applyAlignment="1">
      <alignment horizontal="center" vertical="center" wrapText="1"/>
    </xf>
    <xf numFmtId="4" fontId="156" fillId="23" borderId="44" xfId="41" applyNumberFormat="1" applyFont="1" applyFill="1" applyBorder="1" applyAlignment="1">
      <alignment horizontal="center" vertical="center"/>
    </xf>
    <xf numFmtId="4" fontId="156" fillId="23" borderId="45" xfId="41" applyNumberFormat="1" applyFont="1" applyFill="1" applyBorder="1" applyAlignment="1">
      <alignment horizontal="center" vertical="center"/>
    </xf>
    <xf numFmtId="0" fontId="155" fillId="0" borderId="36" xfId="41" applyFont="1" applyBorder="1" applyAlignment="1">
      <alignment horizontal="center" vertical="center"/>
    </xf>
    <xf numFmtId="0" fontId="155" fillId="0" borderId="37" xfId="41" applyFont="1" applyBorder="1" applyAlignment="1">
      <alignment horizontal="center" vertical="center"/>
    </xf>
    <xf numFmtId="0" fontId="155" fillId="0" borderId="38" xfId="41" applyFont="1" applyBorder="1" applyAlignment="1">
      <alignment horizontal="center" vertical="center"/>
    </xf>
    <xf numFmtId="0" fontId="155" fillId="0" borderId="57" xfId="41" applyFont="1" applyBorder="1" applyAlignment="1">
      <alignment horizontal="center" vertical="center"/>
    </xf>
    <xf numFmtId="0" fontId="155" fillId="0" borderId="13" xfId="41" applyFont="1" applyBorder="1" applyAlignment="1">
      <alignment horizontal="center" vertical="center"/>
    </xf>
    <xf numFmtId="0" fontId="155" fillId="0" borderId="58" xfId="41" applyFont="1" applyBorder="1" applyAlignment="1">
      <alignment horizontal="center" vertical="center"/>
    </xf>
    <xf numFmtId="0" fontId="3" fillId="0" borderId="36" xfId="41" applyFont="1" applyBorder="1" applyAlignment="1">
      <alignment horizontal="center"/>
    </xf>
    <xf numFmtId="0" fontId="3" fillId="0" borderId="37" xfId="41" applyFont="1" applyBorder="1" applyAlignment="1">
      <alignment horizontal="center"/>
    </xf>
    <xf numFmtId="0" fontId="3" fillId="0" borderId="38" xfId="41" applyFont="1" applyBorder="1" applyAlignment="1">
      <alignment horizontal="center"/>
    </xf>
    <xf numFmtId="0" fontId="157" fillId="0" borderId="74" xfId="41" applyFont="1" applyBorder="1" applyAlignment="1">
      <alignment horizontal="center" vertical="center"/>
    </xf>
    <xf numFmtId="0" fontId="157" fillId="0" borderId="114" xfId="41" applyFont="1" applyBorder="1" applyAlignment="1">
      <alignment horizontal="center" vertical="center"/>
    </xf>
    <xf numFmtId="0" fontId="157" fillId="0" borderId="115" xfId="41" applyFont="1" applyBorder="1" applyAlignment="1">
      <alignment horizontal="center" vertical="center"/>
    </xf>
    <xf numFmtId="0" fontId="158" fillId="23" borderId="37" xfId="41" applyFont="1" applyFill="1" applyBorder="1" applyAlignment="1">
      <alignment horizontal="center" vertical="center" wrapText="1"/>
    </xf>
    <xf numFmtId="10" fontId="156" fillId="23" borderId="44" xfId="41" applyNumberFormat="1" applyFont="1" applyFill="1" applyBorder="1" applyAlignment="1">
      <alignment horizontal="center" vertical="center"/>
    </xf>
    <xf numFmtId="10" fontId="156" fillId="23" borderId="45" xfId="41" applyNumberFormat="1" applyFont="1" applyFill="1" applyBorder="1" applyAlignment="1">
      <alignment horizontal="center" vertical="center"/>
    </xf>
    <xf numFmtId="10" fontId="156" fillId="23" borderId="51" xfId="41" applyNumberFormat="1" applyFont="1" applyFill="1" applyBorder="1" applyAlignment="1">
      <alignment horizontal="center" vertical="center"/>
    </xf>
    <xf numFmtId="10" fontId="156" fillId="23" borderId="47" xfId="41" applyNumberFormat="1" applyFont="1" applyFill="1" applyBorder="1" applyAlignment="1">
      <alignment horizontal="center" vertical="center"/>
    </xf>
    <xf numFmtId="0" fontId="158" fillId="23" borderId="51" xfId="41" applyFont="1" applyFill="1" applyBorder="1" applyAlignment="1">
      <alignment horizontal="center" vertical="center" wrapText="1"/>
    </xf>
    <xf numFmtId="0" fontId="158" fillId="23" borderId="52" xfId="41" applyFont="1" applyFill="1" applyBorder="1" applyAlignment="1">
      <alignment horizontal="center" vertical="center" wrapText="1"/>
    </xf>
    <xf numFmtId="169" fontId="158" fillId="23" borderId="44" xfId="41" applyNumberFormat="1" applyFont="1" applyFill="1" applyBorder="1" applyAlignment="1">
      <alignment horizontal="center" vertical="center"/>
    </xf>
    <xf numFmtId="169" fontId="158" fillId="23" borderId="45" xfId="41" applyNumberFormat="1" applyFont="1" applyFill="1" applyBorder="1" applyAlignment="1">
      <alignment horizontal="center" vertical="center"/>
    </xf>
    <xf numFmtId="10" fontId="159" fillId="23" borderId="45" xfId="41" applyNumberFormat="1" applyFont="1" applyFill="1" applyBorder="1" applyAlignment="1">
      <alignment horizontal="center" vertical="center"/>
    </xf>
    <xf numFmtId="10" fontId="159" fillId="23" borderId="46" xfId="41" applyNumberFormat="1" applyFont="1" applyFill="1" applyBorder="1" applyAlignment="1">
      <alignment horizontal="center" vertical="center"/>
    </xf>
    <xf numFmtId="10" fontId="158" fillId="23" borderId="44" xfId="41" applyNumberFormat="1" applyFont="1" applyFill="1" applyBorder="1" applyAlignment="1">
      <alignment horizontal="center" vertical="center"/>
    </xf>
    <xf numFmtId="10" fontId="158" fillId="23" borderId="45" xfId="41" applyNumberFormat="1" applyFont="1" applyFill="1" applyBorder="1" applyAlignment="1">
      <alignment horizontal="center" vertical="center"/>
    </xf>
    <xf numFmtId="10" fontId="159" fillId="23" borderId="45" xfId="43" applyNumberFormat="1" applyFont="1" applyFill="1" applyBorder="1" applyAlignment="1">
      <alignment horizontal="center" vertical="center"/>
    </xf>
    <xf numFmtId="10" fontId="159" fillId="23" borderId="46" xfId="43" applyNumberFormat="1" applyFont="1" applyFill="1" applyBorder="1" applyAlignment="1">
      <alignment horizontal="center" vertical="center"/>
    </xf>
    <xf numFmtId="0" fontId="3" fillId="23" borderId="0" xfId="41" applyFont="1" applyFill="1" applyAlignment="1">
      <alignment horizontal="center"/>
    </xf>
    <xf numFmtId="0" fontId="156" fillId="23" borderId="75" xfId="41" applyFont="1" applyFill="1" applyBorder="1" applyAlignment="1">
      <alignment horizontal="center" vertical="center"/>
    </xf>
    <xf numFmtId="0" fontId="156" fillId="23" borderId="113" xfId="41" applyFont="1" applyFill="1" applyBorder="1" applyAlignment="1">
      <alignment horizontal="center" vertical="center"/>
    </xf>
    <xf numFmtId="0" fontId="157" fillId="23" borderId="113" xfId="41" applyFont="1" applyFill="1" applyBorder="1" applyAlignment="1">
      <alignment horizontal="center" vertical="center"/>
    </xf>
    <xf numFmtId="0" fontId="157" fillId="23" borderId="107" xfId="41" applyFont="1" applyFill="1" applyBorder="1" applyAlignment="1">
      <alignment horizontal="center" vertical="center"/>
    </xf>
    <xf numFmtId="0" fontId="23" fillId="0" borderId="0" xfId="19" applyFont="1" applyAlignment="1">
      <alignment horizontal="center" vertical="center" wrapText="1"/>
    </xf>
    <xf numFmtId="0" fontId="26" fillId="8" borderId="19" xfId="19" applyFont="1" applyFill="1" applyBorder="1" applyAlignment="1">
      <alignment horizontal="center" vertical="center"/>
    </xf>
    <xf numFmtId="0" fontId="26" fillId="8" borderId="11" xfId="19" applyFont="1" applyFill="1" applyBorder="1" applyAlignment="1">
      <alignment horizontal="center" vertical="center"/>
    </xf>
    <xf numFmtId="0" fontId="26" fillId="8" borderId="20" xfId="19" applyFont="1" applyFill="1" applyBorder="1" applyAlignment="1">
      <alignment horizontal="center" vertical="center"/>
    </xf>
    <xf numFmtId="0" fontId="26" fillId="8" borderId="18" xfId="19" applyFont="1" applyFill="1" applyBorder="1" applyAlignment="1">
      <alignment horizontal="center" vertical="center"/>
    </xf>
    <xf numFmtId="0" fontId="26" fillId="8" borderId="0" xfId="19" applyFont="1" applyFill="1" applyAlignment="1">
      <alignment horizontal="center" vertical="center"/>
    </xf>
    <xf numFmtId="0" fontId="26" fillId="8" borderId="14" xfId="19" applyFont="1" applyFill="1" applyBorder="1" applyAlignment="1">
      <alignment horizontal="center" vertical="center"/>
    </xf>
    <xf numFmtId="0" fontId="27" fillId="8" borderId="11" xfId="19" applyFont="1" applyFill="1" applyBorder="1" applyAlignment="1">
      <alignment horizontal="center" vertical="center" wrapText="1"/>
    </xf>
    <xf numFmtId="0" fontId="27" fillId="8" borderId="20" xfId="19" applyFont="1" applyFill="1" applyBorder="1" applyAlignment="1">
      <alignment horizontal="center" vertical="center" wrapText="1"/>
    </xf>
    <xf numFmtId="0" fontId="27" fillId="8" borderId="0" xfId="19" applyFont="1" applyFill="1" applyAlignment="1">
      <alignment horizontal="center" vertical="center" wrapText="1"/>
    </xf>
    <xf numFmtId="0" fontId="27" fillId="8" borderId="14" xfId="19" applyFont="1" applyFill="1" applyBorder="1" applyAlignment="1">
      <alignment horizontal="center" vertical="center" wrapText="1"/>
    </xf>
    <xf numFmtId="0" fontId="27" fillId="8" borderId="13" xfId="19" applyFont="1" applyFill="1" applyBorder="1" applyAlignment="1">
      <alignment horizontal="center" vertical="center" wrapText="1"/>
    </xf>
    <xf numFmtId="0" fontId="27" fillId="8" borderId="15" xfId="19" applyFont="1" applyFill="1" applyBorder="1" applyAlignment="1">
      <alignment horizontal="center" vertical="center" wrapText="1"/>
    </xf>
    <xf numFmtId="0" fontId="27" fillId="8" borderId="12" xfId="19" applyFont="1" applyFill="1" applyBorder="1" applyAlignment="1">
      <alignment horizontal="center" vertical="center" wrapText="1"/>
    </xf>
    <xf numFmtId="0" fontId="27" fillId="8" borderId="18" xfId="19" applyFont="1" applyFill="1" applyBorder="1" applyAlignment="1">
      <alignment horizontal="center" vertical="center" wrapText="1"/>
    </xf>
    <xf numFmtId="0" fontId="36" fillId="8" borderId="18" xfId="19" applyFont="1" applyFill="1" applyBorder="1" applyAlignment="1">
      <alignment horizontal="center" vertical="center"/>
    </xf>
    <xf numFmtId="0" fontId="36" fillId="8" borderId="0" xfId="19" applyFont="1" applyFill="1" applyAlignment="1">
      <alignment horizontal="center" vertical="center"/>
    </xf>
    <xf numFmtId="0" fontId="36" fillId="8" borderId="14" xfId="19" applyFont="1" applyFill="1" applyBorder="1" applyAlignment="1">
      <alignment horizontal="center" vertical="center"/>
    </xf>
    <xf numFmtId="0" fontId="36" fillId="8" borderId="12" xfId="19" applyFont="1" applyFill="1" applyBorder="1" applyAlignment="1">
      <alignment horizontal="center" vertical="center"/>
    </xf>
    <xf numFmtId="0" fontId="36" fillId="8" borderId="13" xfId="19" applyFont="1" applyFill="1" applyBorder="1" applyAlignment="1">
      <alignment horizontal="center" vertical="center"/>
    </xf>
    <xf numFmtId="0" fontId="36" fillId="8" borderId="15" xfId="19" applyFont="1" applyFill="1" applyBorder="1" applyAlignment="1">
      <alignment horizontal="center" vertical="center"/>
    </xf>
    <xf numFmtId="0" fontId="38" fillId="8" borderId="11" xfId="19" applyFont="1" applyFill="1" applyBorder="1" applyAlignment="1">
      <alignment horizontal="center" vertical="center"/>
    </xf>
    <xf numFmtId="0" fontId="42" fillId="8" borderId="11" xfId="19" applyFont="1" applyFill="1" applyBorder="1" applyAlignment="1">
      <alignment horizontal="center" vertical="center"/>
    </xf>
    <xf numFmtId="0" fontId="42" fillId="8" borderId="20" xfId="19" applyFont="1" applyFill="1" applyBorder="1" applyAlignment="1">
      <alignment horizontal="center" vertical="center"/>
    </xf>
    <xf numFmtId="0" fontId="42" fillId="8" borderId="13" xfId="19" applyFont="1" applyFill="1" applyBorder="1" applyAlignment="1">
      <alignment horizontal="center" vertical="center"/>
    </xf>
    <xf numFmtId="0" fontId="42" fillId="8" borderId="15" xfId="19" applyFont="1" applyFill="1" applyBorder="1" applyAlignment="1">
      <alignment horizontal="center" vertical="center"/>
    </xf>
    <xf numFmtId="0" fontId="23" fillId="0" borderId="0" xfId="19" applyFont="1" applyAlignment="1">
      <alignment horizontal="center" vertical="center"/>
    </xf>
    <xf numFmtId="0" fontId="23" fillId="0" borderId="0" xfId="19" applyFont="1" applyAlignment="1">
      <alignment horizontal="right" vertical="center"/>
    </xf>
    <xf numFmtId="0" fontId="43" fillId="0" borderId="0" xfId="19" applyFont="1" applyAlignment="1">
      <alignment horizontal="left" vertical="top"/>
    </xf>
    <xf numFmtId="0" fontId="23" fillId="0" borderId="0" xfId="19" applyFont="1" applyAlignment="1">
      <alignment horizontal="left" vertical="top"/>
    </xf>
    <xf numFmtId="0" fontId="21" fillId="0" borderId="0" xfId="19" applyFont="1" applyAlignment="1">
      <alignment horizontal="center" vertical="center"/>
    </xf>
    <xf numFmtId="0" fontId="37" fillId="0" borderId="0" xfId="19" applyFont="1" applyAlignment="1">
      <alignment horizontal="center"/>
    </xf>
    <xf numFmtId="0" fontId="45" fillId="0" borderId="0" xfId="19" applyFont="1" applyAlignment="1">
      <alignment horizontal="center" vertical="center"/>
    </xf>
    <xf numFmtId="0" fontId="37" fillId="0" borderId="0" xfId="19" applyFont="1" applyAlignment="1">
      <alignment horizontal="left"/>
    </xf>
    <xf numFmtId="0" fontId="40" fillId="0" borderId="4" xfId="19" applyFont="1" applyBorder="1" applyAlignment="1">
      <alignment horizontal="left"/>
    </xf>
    <xf numFmtId="0" fontId="18" fillId="0" borderId="4" xfId="19" applyFont="1" applyBorder="1" applyAlignment="1">
      <alignment horizontal="center"/>
    </xf>
    <xf numFmtId="0" fontId="40" fillId="0" borderId="23" xfId="19" applyFont="1" applyBorder="1" applyAlignment="1">
      <alignment horizontal="left"/>
    </xf>
    <xf numFmtId="0" fontId="18" fillId="0" borderId="23" xfId="19" applyFont="1" applyBorder="1" applyAlignment="1">
      <alignment horizontal="center"/>
    </xf>
    <xf numFmtId="0" fontId="18" fillId="0" borderId="17" xfId="19" applyFont="1" applyBorder="1" applyAlignment="1">
      <alignment horizontal="center" vertical="center"/>
    </xf>
    <xf numFmtId="0" fontId="29" fillId="8" borderId="17" xfId="19" applyFont="1" applyFill="1" applyBorder="1" applyAlignment="1">
      <alignment horizontal="center"/>
    </xf>
    <xf numFmtId="0" fontId="18" fillId="0" borderId="17" xfId="19" applyFont="1" applyBorder="1" applyAlignment="1">
      <alignment horizontal="center" vertical="center" wrapText="1"/>
    </xf>
    <xf numFmtId="0" fontId="18" fillId="0" borderId="21" xfId="19" applyFont="1" applyBorder="1" applyAlignment="1">
      <alignment horizontal="left" vertical="center"/>
    </xf>
    <xf numFmtId="0" fontId="18" fillId="0" borderId="16" xfId="19" applyFont="1" applyBorder="1" applyAlignment="1">
      <alignment horizontal="left" vertical="center"/>
    </xf>
    <xf numFmtId="0" fontId="18" fillId="0" borderId="22" xfId="19" applyFont="1" applyBorder="1" applyAlignment="1">
      <alignment horizontal="left" vertical="center"/>
    </xf>
    <xf numFmtId="14" fontId="24" fillId="0" borderId="17" xfId="19" applyNumberFormat="1" applyFont="1" applyBorder="1" applyAlignment="1">
      <alignment horizontal="center" vertical="center"/>
    </xf>
    <xf numFmtId="0" fontId="24" fillId="0" borderId="17" xfId="19" applyFont="1" applyBorder="1" applyAlignment="1">
      <alignment horizontal="center" vertical="center"/>
    </xf>
    <xf numFmtId="0" fontId="24" fillId="0" borderId="19" xfId="19" applyFont="1" applyBorder="1" applyAlignment="1">
      <alignment horizontal="left" vertical="center" wrapText="1"/>
    </xf>
    <xf numFmtId="0" fontId="24" fillId="0" borderId="11" xfId="19" applyFont="1" applyBorder="1" applyAlignment="1">
      <alignment horizontal="left" vertical="center"/>
    </xf>
    <xf numFmtId="0" fontId="24" fillId="0" borderId="20" xfId="19" applyFont="1" applyBorder="1" applyAlignment="1">
      <alignment horizontal="left" vertical="center"/>
    </xf>
    <xf numFmtId="0" fontId="24" fillId="0" borderId="12" xfId="19" applyFont="1" applyBorder="1" applyAlignment="1">
      <alignment horizontal="left" vertical="center"/>
    </xf>
    <xf numFmtId="0" fontId="24" fillId="0" borderId="13" xfId="19" applyFont="1" applyBorder="1" applyAlignment="1">
      <alignment horizontal="left" vertical="center"/>
    </xf>
    <xf numFmtId="0" fontId="24" fillId="0" borderId="15" xfId="19" applyFont="1" applyBorder="1" applyAlignment="1">
      <alignment horizontal="left" vertical="center"/>
    </xf>
    <xf numFmtId="0" fontId="46" fillId="0" borderId="0" xfId="19" applyFont="1" applyAlignment="1">
      <alignment horizontal="center" vertical="center"/>
    </xf>
    <xf numFmtId="0" fontId="18" fillId="0" borderId="17" xfId="19" applyFont="1" applyBorder="1" applyAlignment="1">
      <alignment horizontal="center"/>
    </xf>
    <xf numFmtId="0" fontId="18" fillId="0" borderId="21" xfId="19" applyFont="1" applyBorder="1" applyAlignment="1">
      <alignment horizontal="center"/>
    </xf>
    <xf numFmtId="0" fontId="18" fillId="0" borderId="16" xfId="19" applyFont="1" applyBorder="1" applyAlignment="1">
      <alignment horizontal="center"/>
    </xf>
    <xf numFmtId="0" fontId="18" fillId="0" borderId="22" xfId="19" applyFont="1" applyBorder="1" applyAlignment="1">
      <alignment horizontal="center"/>
    </xf>
    <xf numFmtId="0" fontId="29" fillId="8" borderId="21" xfId="0" applyFont="1" applyFill="1" applyBorder="1" applyAlignment="1">
      <alignment horizontal="left" vertical="center" wrapText="1"/>
    </xf>
    <xf numFmtId="0" fontId="20" fillId="59" borderId="96" xfId="0" applyFont="1" applyFill="1" applyBorder="1" applyAlignment="1">
      <alignment vertical="center" wrapText="1"/>
    </xf>
    <xf numFmtId="0" fontId="20" fillId="0" borderId="21" xfId="0" applyFont="1" applyBorder="1" applyAlignment="1">
      <alignment vertical="center" wrapText="1"/>
    </xf>
    <xf numFmtId="0" fontId="20" fillId="0" borderId="17" xfId="0" quotePrefix="1" applyFont="1" applyBorder="1" applyAlignment="1">
      <alignment horizontal="left" vertical="center" wrapText="1"/>
    </xf>
    <xf numFmtId="0" fontId="19" fillId="12" borderId="17" xfId="0" applyFont="1" applyFill="1" applyBorder="1" applyAlignment="1">
      <alignment horizontal="left" vertical="center" wrapText="1"/>
    </xf>
    <xf numFmtId="0" fontId="52" fillId="13" borderId="21" xfId="0" applyFont="1" applyFill="1" applyBorder="1" applyAlignment="1">
      <alignment horizontal="left" vertical="center" wrapText="1"/>
    </xf>
    <xf numFmtId="0" fontId="52" fillId="13" borderId="16" xfId="0" applyFont="1" applyFill="1" applyBorder="1" applyAlignment="1">
      <alignment horizontal="left" vertical="center" wrapText="1"/>
    </xf>
    <xf numFmtId="0" fontId="52" fillId="13" borderId="22" xfId="0" applyFont="1" applyFill="1" applyBorder="1" applyAlignment="1">
      <alignment horizontal="left" vertical="center" wrapText="1"/>
    </xf>
    <xf numFmtId="0" fontId="20" fillId="0" borderId="17" xfId="0" applyFont="1" applyBorder="1" applyAlignment="1">
      <alignment horizontal="left" vertical="center" wrapText="1"/>
    </xf>
    <xf numFmtId="0" fontId="19" fillId="12" borderId="21" xfId="0" applyFont="1" applyFill="1" applyBorder="1" applyAlignment="1">
      <alignment vertical="center" wrapText="1"/>
    </xf>
    <xf numFmtId="0" fontId="20" fillId="0" borderId="21" xfId="0" applyFont="1" applyBorder="1" applyAlignment="1">
      <alignment horizontal="left" vertical="center" wrapText="1"/>
    </xf>
    <xf numFmtId="0" fontId="20" fillId="0" borderId="16" xfId="0" applyFont="1" applyBorder="1" applyAlignment="1">
      <alignment horizontal="left" vertical="center" wrapText="1"/>
    </xf>
    <xf numFmtId="0" fontId="20" fillId="0" borderId="22" xfId="0" applyFont="1" applyBorder="1" applyAlignment="1">
      <alignment horizontal="left" vertical="center" wrapText="1"/>
    </xf>
    <xf numFmtId="0" fontId="20" fillId="37" borderId="17" xfId="0" applyFont="1" applyFill="1" applyBorder="1" applyAlignment="1">
      <alignment horizontal="left" vertical="center" wrapText="1"/>
    </xf>
    <xf numFmtId="0" fontId="19" fillId="0" borderId="17" xfId="0" applyFont="1" applyBorder="1" applyAlignment="1">
      <alignment horizontal="left" vertical="center" wrapText="1"/>
    </xf>
    <xf numFmtId="0" fontId="20" fillId="0" borderId="17" xfId="0" quotePrefix="1" applyFont="1" applyBorder="1" applyAlignment="1">
      <alignment horizontal="left" vertical="center" wrapText="1" indent="1"/>
    </xf>
    <xf numFmtId="0" fontId="20" fillId="0" borderId="17" xfId="0" applyFont="1" applyBorder="1" applyAlignment="1">
      <alignment horizontal="left" vertical="center" wrapText="1" indent="1"/>
    </xf>
    <xf numFmtId="0" fontId="19" fillId="0" borderId="17" xfId="0" applyFont="1" applyBorder="1" applyAlignment="1">
      <alignment horizontal="center" vertical="center" wrapText="1"/>
    </xf>
    <xf numFmtId="0" fontId="19" fillId="0" borderId="17" xfId="0" applyFont="1" applyBorder="1" applyAlignment="1">
      <alignment horizontal="center" vertical="center"/>
    </xf>
    <xf numFmtId="0" fontId="20" fillId="9" borderId="17" xfId="0" quotePrefix="1" applyFont="1" applyFill="1" applyBorder="1" applyAlignment="1">
      <alignment horizontal="left" vertical="center" wrapText="1"/>
    </xf>
    <xf numFmtId="0" fontId="19" fillId="59" borderId="96" xfId="0" applyFont="1" applyFill="1" applyBorder="1" applyAlignment="1">
      <alignment horizontal="left" vertical="center" wrapText="1"/>
    </xf>
    <xf numFmtId="0" fontId="27" fillId="8" borderId="17" xfId="0" applyFont="1" applyFill="1" applyBorder="1" applyAlignment="1">
      <alignment horizontal="center" vertical="center" wrapText="1"/>
    </xf>
    <xf numFmtId="0" fontId="29" fillId="8" borderId="17" xfId="0" applyFont="1" applyFill="1" applyBorder="1" applyAlignment="1">
      <alignment horizontal="center" vertical="center"/>
    </xf>
    <xf numFmtId="0" fontId="20" fillId="0" borderId="23" xfId="0" applyFont="1" applyBorder="1" applyAlignment="1">
      <alignment horizontal="left" vertical="center"/>
    </xf>
    <xf numFmtId="15" fontId="20" fillId="0" borderId="23" xfId="0" applyNumberFormat="1" applyFont="1" applyBorder="1" applyAlignment="1">
      <alignment horizontal="left" vertical="center" wrapText="1"/>
    </xf>
    <xf numFmtId="0" fontId="20" fillId="0" borderId="11" xfId="0" quotePrefix="1" applyFont="1" applyBorder="1" applyAlignment="1">
      <alignment horizontal="left" vertical="center"/>
    </xf>
    <xf numFmtId="0" fontId="20" fillId="0" borderId="24" xfId="0" applyFont="1" applyBorder="1" applyAlignment="1">
      <alignment horizontal="left" vertical="center"/>
    </xf>
    <xf numFmtId="0" fontId="20" fillId="0" borderId="23" xfId="0" quotePrefix="1" applyFont="1" applyBorder="1" applyAlignment="1">
      <alignment horizontal="left" vertical="center"/>
    </xf>
    <xf numFmtId="49" fontId="20" fillId="0" borderId="4" xfId="0" quotePrefix="1" applyNumberFormat="1" applyFont="1" applyBorder="1" applyAlignment="1">
      <alignment horizontal="left" vertical="center"/>
    </xf>
    <xf numFmtId="15" fontId="20" fillId="0" borderId="23" xfId="0" applyNumberFormat="1" applyFont="1" applyBorder="1" applyAlignment="1">
      <alignment horizontal="left" vertical="center"/>
    </xf>
    <xf numFmtId="0" fontId="27" fillId="8" borderId="17" xfId="14" applyFont="1" applyFill="1" applyBorder="1" applyAlignment="1">
      <alignment horizontal="center" wrapText="1"/>
    </xf>
    <xf numFmtId="0" fontId="26" fillId="8" borderId="17" xfId="0" applyFont="1" applyFill="1" applyBorder="1" applyAlignment="1">
      <alignment horizontal="center" vertical="center" wrapText="1"/>
    </xf>
    <xf numFmtId="0" fontId="31" fillId="8" borderId="17" xfId="14" applyFont="1" applyFill="1" applyBorder="1" applyAlignment="1">
      <alignment horizontal="center"/>
    </xf>
    <xf numFmtId="0" fontId="19" fillId="12" borderId="84" xfId="0" applyFont="1" applyFill="1" applyBorder="1" applyAlignment="1">
      <alignment horizontal="left" vertical="center" wrapText="1"/>
    </xf>
    <xf numFmtId="0" fontId="29" fillId="8" borderId="19" xfId="0" applyFont="1" applyFill="1" applyBorder="1" applyAlignment="1">
      <alignment horizontal="left" vertical="center" wrapText="1"/>
    </xf>
    <xf numFmtId="0" fontId="20" fillId="0" borderId="0" xfId="0" applyFont="1" applyAlignment="1">
      <alignment horizontal="left" vertical="top" wrapText="1"/>
    </xf>
    <xf numFmtId="0" fontId="20" fillId="0" borderId="0" xfId="0" applyFont="1" applyAlignment="1">
      <alignment horizontal="left" vertical="center" wrapText="1"/>
    </xf>
    <xf numFmtId="43" fontId="58" fillId="16" borderId="44" xfId="23" applyFont="1" applyFill="1" applyBorder="1" applyAlignment="1">
      <alignment horizontal="left" vertical="center" wrapText="1" indent="2"/>
    </xf>
    <xf numFmtId="43" fontId="58" fillId="16" borderId="45" xfId="23" applyFont="1" applyFill="1" applyBorder="1" applyAlignment="1">
      <alignment horizontal="left" vertical="center" wrapText="1" indent="2"/>
    </xf>
    <xf numFmtId="43" fontId="58" fillId="16" borderId="46" xfId="23" applyFont="1" applyFill="1" applyBorder="1" applyAlignment="1">
      <alignment horizontal="left" vertical="center" wrapText="1" indent="2"/>
    </xf>
    <xf numFmtId="43" fontId="5" fillId="0" borderId="48" xfId="23" applyFont="1" applyFill="1" applyBorder="1" applyAlignment="1">
      <alignment horizontal="left" vertical="center" wrapText="1" indent="2"/>
    </xf>
    <xf numFmtId="43" fontId="5" fillId="0" borderId="49" xfId="23" applyFont="1" applyFill="1" applyBorder="1" applyAlignment="1">
      <alignment horizontal="left" vertical="center" wrapText="1" indent="2"/>
    </xf>
    <xf numFmtId="43" fontId="5" fillId="0" borderId="50" xfId="23" applyFont="1" applyFill="1" applyBorder="1" applyAlignment="1">
      <alignment horizontal="left" vertical="center" wrapText="1" indent="2"/>
    </xf>
    <xf numFmtId="43" fontId="5" fillId="0" borderId="41" xfId="23" applyFont="1" applyFill="1" applyBorder="1" applyAlignment="1">
      <alignment horizontal="left" vertical="center" wrapText="1" indent="2"/>
    </xf>
    <xf numFmtId="43" fontId="5" fillId="0" borderId="42" xfId="23" applyFont="1" applyFill="1" applyBorder="1" applyAlignment="1">
      <alignment horizontal="left" vertical="center" wrapText="1" indent="2"/>
    </xf>
    <xf numFmtId="43" fontId="5" fillId="0" borderId="43" xfId="23" applyFont="1" applyFill="1" applyBorder="1" applyAlignment="1">
      <alignment horizontal="left" vertical="center" wrapText="1" indent="2"/>
    </xf>
    <xf numFmtId="43" fontId="58" fillId="16" borderId="51" xfId="23" applyFont="1" applyFill="1" applyBorder="1" applyAlignment="1">
      <alignment horizontal="left" vertical="center" wrapText="1" indent="2"/>
    </xf>
    <xf numFmtId="43" fontId="58" fillId="16" borderId="52" xfId="23" applyFont="1" applyFill="1" applyBorder="1" applyAlignment="1">
      <alignment horizontal="left" vertical="center" wrapText="1" indent="2"/>
    </xf>
    <xf numFmtId="43" fontId="58" fillId="16" borderId="47" xfId="23" applyFont="1" applyFill="1" applyBorder="1" applyAlignment="1">
      <alignment horizontal="left" vertical="center" wrapText="1" indent="2"/>
    </xf>
    <xf numFmtId="49" fontId="63" fillId="0" borderId="17" xfId="0" applyNumberFormat="1" applyFont="1" applyBorder="1" applyAlignment="1">
      <alignment horizontal="left" vertical="center" wrapText="1" indent="1"/>
    </xf>
    <xf numFmtId="0" fontId="101" fillId="0" borderId="0" xfId="0" applyFont="1" applyAlignment="1">
      <alignment horizontal="left" vertical="center" wrapText="1"/>
    </xf>
    <xf numFmtId="0" fontId="20" fillId="9" borderId="17" xfId="0" applyFont="1" applyFill="1" applyBorder="1" applyAlignment="1">
      <alignment horizontal="left" vertical="center" wrapText="1"/>
    </xf>
    <xf numFmtId="0" fontId="20" fillId="9" borderId="35" xfId="0" quotePrefix="1" applyFont="1" applyFill="1" applyBorder="1" applyAlignment="1">
      <alignment horizontal="left" vertical="center" wrapText="1"/>
    </xf>
    <xf numFmtId="0" fontId="20" fillId="9" borderId="35" xfId="0" applyFont="1" applyFill="1" applyBorder="1" applyAlignment="1">
      <alignment horizontal="left" vertical="center" wrapText="1"/>
    </xf>
    <xf numFmtId="0" fontId="20" fillId="9" borderId="21" xfId="0" quotePrefix="1" applyFont="1" applyFill="1" applyBorder="1" applyAlignment="1">
      <alignment horizontal="left" vertical="center" wrapText="1"/>
    </xf>
    <xf numFmtId="0" fontId="29" fillId="8" borderId="16" xfId="0" applyFont="1" applyFill="1" applyBorder="1" applyAlignment="1">
      <alignment horizontal="left" vertical="center" wrapText="1"/>
    </xf>
    <xf numFmtId="0" fontId="64" fillId="0" borderId="17" xfId="0" applyFont="1" applyBorder="1" applyAlignment="1">
      <alignment horizontal="left" vertical="center" indent="2"/>
    </xf>
    <xf numFmtId="0" fontId="62" fillId="0" borderId="17" xfId="24" applyBorder="1" applyAlignment="1">
      <alignment horizontal="left" vertical="center" indent="2"/>
    </xf>
    <xf numFmtId="0" fontId="56" fillId="15" borderId="37" xfId="0" applyFont="1" applyFill="1" applyBorder="1" applyAlignment="1">
      <alignment horizontal="center" vertical="center"/>
    </xf>
    <xf numFmtId="0" fontId="56" fillId="15" borderId="38" xfId="0" applyFont="1" applyFill="1" applyBorder="1" applyAlignment="1">
      <alignment horizontal="center" vertical="center"/>
    </xf>
    <xf numFmtId="0" fontId="56" fillId="15" borderId="37" xfId="0" applyFont="1" applyFill="1" applyBorder="1" applyAlignment="1">
      <alignment horizontal="left" vertical="center" wrapText="1"/>
    </xf>
    <xf numFmtId="0" fontId="56" fillId="15" borderId="38" xfId="0" applyFont="1" applyFill="1" applyBorder="1" applyAlignment="1">
      <alignment horizontal="left" vertical="center" wrapText="1"/>
    </xf>
    <xf numFmtId="0" fontId="56" fillId="15" borderId="37" xfId="0" applyFont="1" applyFill="1" applyBorder="1" applyAlignment="1">
      <alignment horizontal="right" vertical="center"/>
    </xf>
    <xf numFmtId="0" fontId="56" fillId="15" borderId="38" xfId="0" applyFont="1" applyFill="1" applyBorder="1" applyAlignment="1">
      <alignment horizontal="right" vertical="center"/>
    </xf>
    <xf numFmtId="0" fontId="56" fillId="15" borderId="37" xfId="0" applyFont="1" applyFill="1" applyBorder="1" applyAlignment="1">
      <alignment horizontal="left" vertical="center"/>
    </xf>
    <xf numFmtId="0" fontId="56" fillId="15" borderId="38" xfId="0" applyFont="1" applyFill="1" applyBorder="1" applyAlignment="1">
      <alignment horizontal="left" vertical="center"/>
    </xf>
    <xf numFmtId="0" fontId="56" fillId="15" borderId="37" xfId="0" applyFont="1" applyFill="1" applyBorder="1" applyAlignment="1">
      <alignment horizontal="left" vertical="top" wrapText="1"/>
    </xf>
    <xf numFmtId="0" fontId="56" fillId="15" borderId="38" xfId="0" applyFont="1" applyFill="1" applyBorder="1" applyAlignment="1">
      <alignment horizontal="left" vertical="top" wrapText="1"/>
    </xf>
    <xf numFmtId="0" fontId="56" fillId="15" borderId="37" xfId="0" applyFont="1" applyFill="1" applyBorder="1" applyAlignment="1">
      <alignment horizontal="center" vertical="center" wrapText="1"/>
    </xf>
    <xf numFmtId="0" fontId="56" fillId="15" borderId="38" xfId="0" applyFont="1" applyFill="1" applyBorder="1" applyAlignment="1">
      <alignment horizontal="center" vertical="center" wrapText="1"/>
    </xf>
    <xf numFmtId="0" fontId="55" fillId="0" borderId="0" xfId="0" applyFont="1" applyAlignment="1">
      <alignment horizontal="left" vertical="center" wrapText="1"/>
    </xf>
    <xf numFmtId="4" fontId="92" fillId="34" borderId="38" xfId="34" applyNumberFormat="1" applyFont="1" applyFill="1" applyBorder="1" applyAlignment="1">
      <alignment horizontal="center" vertical="center" wrapText="1"/>
    </xf>
    <xf numFmtId="4" fontId="92" fillId="34" borderId="43" xfId="34" applyNumberFormat="1" applyFont="1" applyFill="1" applyBorder="1" applyAlignment="1">
      <alignment horizontal="center" vertical="center" wrapText="1"/>
    </xf>
    <xf numFmtId="0" fontId="98" fillId="32" borderId="51" xfId="34" applyFont="1" applyFill="1" applyBorder="1" applyAlignment="1">
      <alignment horizontal="center"/>
    </xf>
    <xf numFmtId="0" fontId="98" fillId="32" borderId="52" xfId="34" applyFont="1" applyFill="1" applyBorder="1" applyAlignment="1">
      <alignment horizontal="center"/>
    </xf>
    <xf numFmtId="0" fontId="98" fillId="32" borderId="47" xfId="34" applyFont="1" applyFill="1" applyBorder="1" applyAlignment="1">
      <alignment horizontal="center"/>
    </xf>
    <xf numFmtId="0" fontId="90" fillId="32" borderId="51" xfId="34" applyFont="1" applyFill="1" applyBorder="1" applyAlignment="1">
      <alignment horizontal="center"/>
    </xf>
    <xf numFmtId="0" fontId="90" fillId="32" borderId="52" xfId="34" applyFont="1" applyFill="1" applyBorder="1" applyAlignment="1">
      <alignment horizontal="center"/>
    </xf>
    <xf numFmtId="0" fontId="90" fillId="32" borderId="47" xfId="34" applyFont="1" applyFill="1" applyBorder="1" applyAlignment="1">
      <alignment horizontal="center"/>
    </xf>
    <xf numFmtId="0" fontId="91" fillId="0" borderId="0" xfId="35" applyFont="1" applyAlignment="1">
      <alignment horizontal="center" vertical="center" wrapText="1"/>
    </xf>
    <xf numFmtId="0" fontId="92" fillId="34" borderId="36" xfId="34" applyFont="1" applyFill="1" applyBorder="1" applyAlignment="1">
      <alignment horizontal="center" vertical="center" wrapText="1"/>
    </xf>
    <xf numFmtId="0" fontId="92" fillId="34" borderId="38" xfId="34" applyFont="1" applyFill="1" applyBorder="1" applyAlignment="1">
      <alignment horizontal="center" vertical="center" wrapText="1"/>
    </xf>
    <xf numFmtId="0" fontId="92" fillId="34" borderId="41" xfId="34" applyFont="1" applyFill="1" applyBorder="1" applyAlignment="1">
      <alignment horizontal="center" vertical="center" wrapText="1"/>
    </xf>
    <xf numFmtId="0" fontId="92" fillId="34" borderId="43" xfId="34" applyFont="1" applyFill="1" applyBorder="1" applyAlignment="1">
      <alignment horizontal="center" vertical="center" wrapText="1"/>
    </xf>
    <xf numFmtId="4" fontId="92" fillId="34" borderId="36" xfId="34" applyNumberFormat="1" applyFont="1" applyFill="1" applyBorder="1" applyAlignment="1">
      <alignment horizontal="center" vertical="center" wrapText="1"/>
    </xf>
    <xf numFmtId="4" fontId="92" fillId="34" borderId="41" xfId="34" applyNumberFormat="1" applyFont="1" applyFill="1" applyBorder="1" applyAlignment="1">
      <alignment horizontal="center" vertical="center" wrapText="1"/>
    </xf>
    <xf numFmtId="4" fontId="92" fillId="34" borderId="37" xfId="34" applyNumberFormat="1" applyFont="1" applyFill="1" applyBorder="1" applyAlignment="1">
      <alignment horizontal="center" vertical="center" wrapText="1"/>
    </xf>
    <xf numFmtId="4" fontId="92" fillId="34" borderId="42" xfId="34" applyNumberFormat="1" applyFont="1" applyFill="1" applyBorder="1" applyAlignment="1">
      <alignment horizontal="center" vertical="center" wrapText="1"/>
    </xf>
    <xf numFmtId="0" fontId="7" fillId="22" borderId="18" xfId="27" applyFont="1" applyFill="1" applyBorder="1" applyAlignment="1">
      <alignment horizontal="left" vertical="center"/>
    </xf>
    <xf numFmtId="0" fontId="7" fillId="22" borderId="14" xfId="27" applyFont="1" applyFill="1" applyBorder="1" applyAlignment="1">
      <alignment horizontal="left" vertical="center"/>
    </xf>
    <xf numFmtId="0" fontId="75" fillId="0" borderId="68" xfId="27" applyFont="1" applyBorder="1" applyAlignment="1">
      <alignment horizontal="left" vertical="center" indent="4"/>
    </xf>
    <xf numFmtId="0" fontId="75" fillId="0" borderId="69" xfId="27" applyFont="1" applyBorder="1" applyAlignment="1">
      <alignment horizontal="left" vertical="center" indent="4"/>
    </xf>
    <xf numFmtId="0" fontId="75" fillId="21" borderId="51" xfId="27" applyFont="1" applyFill="1" applyBorder="1" applyAlignment="1">
      <alignment horizontal="left" vertical="center" indent="4"/>
    </xf>
    <xf numFmtId="0" fontId="75" fillId="21" borderId="52" xfId="27" applyFont="1" applyFill="1" applyBorder="1" applyAlignment="1">
      <alignment horizontal="left" vertical="center" indent="4"/>
    </xf>
    <xf numFmtId="0" fontId="66" fillId="9" borderId="39" xfId="0" applyFont="1" applyFill="1" applyBorder="1" applyAlignment="1">
      <alignment horizontal="center"/>
    </xf>
    <xf numFmtId="0" fontId="66" fillId="9" borderId="0" xfId="0" applyFont="1" applyFill="1" applyAlignment="1">
      <alignment horizontal="center"/>
    </xf>
    <xf numFmtId="0" fontId="66" fillId="9" borderId="40" xfId="0" applyFont="1" applyFill="1" applyBorder="1" applyAlignment="1">
      <alignment horizontal="center"/>
    </xf>
    <xf numFmtId="0" fontId="70" fillId="21" borderId="63" xfId="27" applyFont="1" applyFill="1" applyBorder="1" applyAlignment="1">
      <alignment horizontal="left" vertical="center"/>
    </xf>
    <xf numFmtId="0" fontId="70" fillId="21" borderId="64" xfId="27" applyFont="1" applyFill="1" applyBorder="1" applyAlignment="1">
      <alignment horizontal="left" vertical="center"/>
    </xf>
    <xf numFmtId="0" fontId="70" fillId="21" borderId="65" xfId="27" applyFont="1" applyFill="1" applyBorder="1" applyAlignment="1">
      <alignment horizontal="left" vertical="center"/>
    </xf>
    <xf numFmtId="0" fontId="67" fillId="13" borderId="36" xfId="0" applyFont="1" applyFill="1" applyBorder="1" applyAlignment="1">
      <alignment horizontal="center"/>
    </xf>
    <xf numFmtId="0" fontId="67" fillId="13" borderId="37" xfId="0" applyFont="1" applyFill="1" applyBorder="1" applyAlignment="1">
      <alignment horizontal="center"/>
    </xf>
    <xf numFmtId="0" fontId="67" fillId="13" borderId="38" xfId="0" applyFont="1" applyFill="1" applyBorder="1" applyAlignment="1">
      <alignment horizontal="center"/>
    </xf>
    <xf numFmtId="0" fontId="68" fillId="19" borderId="51" xfId="0" applyFont="1" applyFill="1" applyBorder="1" applyAlignment="1">
      <alignment horizontal="center"/>
    </xf>
    <xf numFmtId="0" fontId="68" fillId="19" borderId="52" xfId="0" applyFont="1" applyFill="1" applyBorder="1" applyAlignment="1">
      <alignment horizontal="center"/>
    </xf>
    <xf numFmtId="0" fontId="68" fillId="19" borderId="47" xfId="0" applyFont="1" applyFill="1" applyBorder="1" applyAlignment="1">
      <alignment horizontal="center"/>
    </xf>
    <xf numFmtId="0" fontId="67" fillId="13" borderId="36" xfId="25" applyFont="1" applyFill="1" applyBorder="1" applyAlignment="1">
      <alignment horizontal="center"/>
    </xf>
    <xf numFmtId="0" fontId="67" fillId="13" borderId="37" xfId="25" applyFont="1" applyFill="1" applyBorder="1" applyAlignment="1">
      <alignment horizontal="center"/>
    </xf>
    <xf numFmtId="0" fontId="67" fillId="13" borderId="38" xfId="25" applyFont="1" applyFill="1" applyBorder="1" applyAlignment="1">
      <alignment horizontal="center"/>
    </xf>
    <xf numFmtId="0" fontId="68" fillId="19" borderId="51" xfId="25" applyFont="1" applyFill="1" applyBorder="1" applyAlignment="1">
      <alignment horizontal="center"/>
    </xf>
    <xf numFmtId="0" fontId="68" fillId="19" borderId="52" xfId="25" applyFont="1" applyFill="1" applyBorder="1" applyAlignment="1">
      <alignment horizontal="center"/>
    </xf>
    <xf numFmtId="0" fontId="68" fillId="19" borderId="47" xfId="25" applyFont="1" applyFill="1" applyBorder="1" applyAlignment="1">
      <alignment horizontal="center"/>
    </xf>
    <xf numFmtId="0" fontId="66" fillId="9" borderId="39" xfId="25" applyFont="1" applyFill="1" applyBorder="1" applyAlignment="1">
      <alignment horizontal="center"/>
    </xf>
    <xf numFmtId="0" fontId="66" fillId="9" borderId="0" xfId="25" applyFont="1" applyFill="1" applyAlignment="1">
      <alignment horizontal="center"/>
    </xf>
    <xf numFmtId="0" fontId="66" fillId="9" borderId="40" xfId="25" applyFont="1" applyFill="1" applyBorder="1" applyAlignment="1">
      <alignment horizontal="center"/>
    </xf>
    <xf numFmtId="0" fontId="75" fillId="0" borderId="41" xfId="27" applyFont="1" applyBorder="1" applyAlignment="1">
      <alignment horizontal="left" vertical="center" indent="4"/>
    </xf>
    <xf numFmtId="0" fontId="75" fillId="0" borderId="42" xfId="27" applyFont="1" applyBorder="1" applyAlignment="1">
      <alignment horizontal="left" vertical="center" indent="4"/>
    </xf>
    <xf numFmtId="0" fontId="75" fillId="0" borderId="0" xfId="27" applyFont="1" applyAlignment="1">
      <alignment horizontal="left" vertical="center" indent="4"/>
    </xf>
    <xf numFmtId="0" fontId="75" fillId="30" borderId="51" xfId="27" applyFont="1" applyFill="1" applyBorder="1" applyAlignment="1">
      <alignment horizontal="left" vertical="center" indent="4"/>
    </xf>
    <xf numFmtId="0" fontId="75" fillId="30" borderId="52" xfId="27" applyFont="1" applyFill="1" applyBorder="1" applyAlignment="1">
      <alignment horizontal="left" vertical="center" indent="4"/>
    </xf>
    <xf numFmtId="0" fontId="75" fillId="28" borderId="51" xfId="27" applyFont="1" applyFill="1" applyBorder="1" applyAlignment="1">
      <alignment horizontal="left" vertical="center" indent="4"/>
    </xf>
    <xf numFmtId="0" fontId="75" fillId="28" borderId="52" xfId="27" applyFont="1" applyFill="1" applyBorder="1" applyAlignment="1">
      <alignment horizontal="left" vertical="center" indent="4"/>
    </xf>
    <xf numFmtId="0" fontId="70" fillId="21" borderId="36" xfId="27" applyFont="1" applyFill="1" applyBorder="1" applyAlignment="1">
      <alignment horizontal="left" vertical="center"/>
    </xf>
    <xf numFmtId="0" fontId="70" fillId="21" borderId="37" xfId="27" applyFont="1" applyFill="1" applyBorder="1" applyAlignment="1">
      <alignment horizontal="left" vertical="center"/>
    </xf>
    <xf numFmtId="0" fontId="70" fillId="21" borderId="38" xfId="27" applyFont="1" applyFill="1" applyBorder="1" applyAlignment="1">
      <alignment horizontal="left" vertical="center"/>
    </xf>
    <xf numFmtId="0" fontId="70" fillId="0" borderId="0" xfId="27" applyFont="1" applyAlignment="1">
      <alignment horizontal="left" vertical="center"/>
    </xf>
    <xf numFmtId="0" fontId="84" fillId="28" borderId="59" xfId="27" applyFont="1" applyFill="1" applyBorder="1" applyAlignment="1">
      <alignment horizontal="left" vertical="center" indent="4"/>
    </xf>
    <xf numFmtId="0" fontId="84" fillId="28" borderId="16" xfId="27" applyFont="1" applyFill="1" applyBorder="1" applyAlignment="1">
      <alignment horizontal="left" vertical="center" indent="4"/>
    </xf>
    <xf numFmtId="0" fontId="84" fillId="0" borderId="0" xfId="27" applyFont="1" applyAlignment="1">
      <alignment horizontal="left" vertical="center" indent="4"/>
    </xf>
    <xf numFmtId="0" fontId="84" fillId="28" borderId="68" xfId="27" applyFont="1" applyFill="1" applyBorder="1" applyAlignment="1">
      <alignment horizontal="left" vertical="center" indent="4"/>
    </xf>
    <xf numFmtId="0" fontId="84" fillId="28" borderId="69" xfId="27" applyFont="1" applyFill="1" applyBorder="1" applyAlignment="1">
      <alignment horizontal="left" vertical="center" indent="4"/>
    </xf>
    <xf numFmtId="0" fontId="70" fillId="21" borderId="77" xfId="27" applyFont="1" applyFill="1" applyBorder="1" applyAlignment="1">
      <alignment horizontal="left" vertical="center"/>
    </xf>
    <xf numFmtId="0" fontId="70" fillId="21" borderId="78" xfId="27" applyFont="1" applyFill="1" applyBorder="1" applyAlignment="1">
      <alignment horizontal="left" vertical="center"/>
    </xf>
    <xf numFmtId="0" fontId="70" fillId="21" borderId="79" xfId="27" applyFont="1" applyFill="1" applyBorder="1" applyAlignment="1">
      <alignment horizontal="left" vertical="center"/>
    </xf>
    <xf numFmtId="0" fontId="26" fillId="8" borderId="28" xfId="0" applyFont="1" applyFill="1" applyBorder="1" applyAlignment="1">
      <alignment horizontal="center"/>
    </xf>
    <xf numFmtId="0" fontId="26" fillId="8" borderId="11" xfId="0" applyFont="1" applyFill="1" applyBorder="1" applyAlignment="1">
      <alignment horizontal="center"/>
    </xf>
    <xf numFmtId="0" fontId="26" fillId="8" borderId="26" xfId="0" applyFont="1" applyFill="1" applyBorder="1" applyAlignment="1">
      <alignment horizontal="center"/>
    </xf>
    <xf numFmtId="0" fontId="25" fillId="8" borderId="11" xfId="0" applyFont="1" applyFill="1" applyBorder="1" applyAlignment="1">
      <alignment horizontal="center"/>
    </xf>
    <xf numFmtId="0" fontId="25" fillId="8" borderId="20" xfId="0" applyFont="1" applyFill="1" applyBorder="1" applyAlignment="1">
      <alignment horizontal="center"/>
    </xf>
    <xf numFmtId="0" fontId="26" fillId="8" borderId="29" xfId="0" applyFont="1" applyFill="1" applyBorder="1" applyAlignment="1">
      <alignment horizontal="center"/>
    </xf>
    <xf numFmtId="0" fontId="26" fillId="8" borderId="0" xfId="0" applyFont="1" applyFill="1" applyAlignment="1">
      <alignment horizontal="center"/>
    </xf>
    <xf numFmtId="0" fontId="26" fillId="8" borderId="25" xfId="0" applyFont="1" applyFill="1" applyBorder="1" applyAlignment="1">
      <alignment horizontal="center"/>
    </xf>
    <xf numFmtId="0" fontId="27" fillId="8" borderId="0" xfId="0" applyFont="1" applyFill="1" applyAlignment="1">
      <alignment horizontal="center"/>
    </xf>
    <xf numFmtId="0" fontId="27" fillId="8" borderId="14" xfId="0" applyFont="1" applyFill="1" applyBorder="1" applyAlignment="1">
      <alignment horizontal="center"/>
    </xf>
    <xf numFmtId="0" fontId="27" fillId="8" borderId="18" xfId="0" applyFont="1" applyFill="1" applyBorder="1" applyAlignment="1">
      <alignment horizontal="center" vertical="center" wrapText="1"/>
    </xf>
    <xf numFmtId="0" fontId="27" fillId="8" borderId="0" xfId="0" applyFont="1" applyFill="1" applyAlignment="1">
      <alignment horizontal="center" vertical="center"/>
    </xf>
    <xf numFmtId="0" fontId="27" fillId="8" borderId="2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27" fillId="8" borderId="27" xfId="0" applyFont="1" applyFill="1" applyBorder="1" applyAlignment="1">
      <alignment horizontal="center" vertical="center"/>
    </xf>
    <xf numFmtId="0" fontId="29" fillId="8" borderId="29" xfId="0" applyFont="1" applyFill="1" applyBorder="1" applyAlignment="1">
      <alignment horizontal="center"/>
    </xf>
    <xf numFmtId="0" fontId="29" fillId="8" borderId="0" xfId="0" applyFont="1" applyFill="1" applyAlignment="1">
      <alignment horizontal="center"/>
    </xf>
    <xf numFmtId="0" fontId="29" fillId="8" borderId="25" xfId="0" applyFont="1" applyFill="1" applyBorder="1" applyAlignment="1">
      <alignment horizontal="center"/>
    </xf>
    <xf numFmtId="0" fontId="29" fillId="8" borderId="30" xfId="0" applyFont="1" applyFill="1" applyBorder="1" applyAlignment="1">
      <alignment horizontal="center"/>
    </xf>
    <xf numFmtId="0" fontId="29" fillId="8" borderId="13" xfId="0" applyFont="1" applyFill="1" applyBorder="1" applyAlignment="1">
      <alignment horizontal="center"/>
    </xf>
    <xf numFmtId="0" fontId="29" fillId="8" borderId="27" xfId="0" applyFont="1" applyFill="1" applyBorder="1" applyAlignment="1">
      <alignment horizontal="center"/>
    </xf>
    <xf numFmtId="0" fontId="25" fillId="8" borderId="13" xfId="0" applyFont="1" applyFill="1" applyBorder="1" applyAlignment="1">
      <alignment horizontal="center"/>
    </xf>
    <xf numFmtId="0" fontId="25" fillId="8" borderId="15" xfId="0" applyFont="1" applyFill="1" applyBorder="1" applyAlignment="1">
      <alignment horizontal="center"/>
    </xf>
    <xf numFmtId="0" fontId="18" fillId="0" borderId="4" xfId="0" applyFont="1" applyBorder="1" applyAlignment="1">
      <alignment horizontal="center"/>
    </xf>
    <xf numFmtId="0" fontId="18" fillId="0" borderId="13" xfId="0" applyFont="1" applyBorder="1" applyAlignment="1">
      <alignment horizontal="center"/>
    </xf>
    <xf numFmtId="0" fontId="18" fillId="0" borderId="0" xfId="0" applyFont="1" applyAlignment="1">
      <alignment horizontal="center"/>
    </xf>
    <xf numFmtId="0" fontId="22" fillId="0" borderId="0" xfId="0" applyFont="1" applyAlignment="1">
      <alignment horizontal="center" vertical="center"/>
    </xf>
    <xf numFmtId="0" fontId="23" fillId="0" borderId="0" xfId="14" applyFont="1" applyAlignment="1">
      <alignment horizontal="center" vertical="center"/>
    </xf>
    <xf numFmtId="0" fontId="22" fillId="0" borderId="0" xfId="0" applyFont="1" applyAlignment="1">
      <alignment horizontal="center" vertical="top"/>
    </xf>
    <xf numFmtId="0" fontId="22" fillId="0" borderId="0" xfId="0" applyFont="1" applyAlignment="1">
      <alignment horizontal="center" vertical="top" wrapText="1"/>
    </xf>
    <xf numFmtId="0" fontId="23" fillId="0" borderId="0" xfId="14" applyFont="1" applyAlignment="1">
      <alignment horizontal="center" vertical="center" wrapText="1"/>
    </xf>
    <xf numFmtId="0" fontId="29" fillId="8" borderId="16" xfId="0" applyFont="1" applyFill="1" applyBorder="1" applyAlignment="1">
      <alignment horizontal="center"/>
    </xf>
    <xf numFmtId="0" fontId="29" fillId="8" borderId="22" xfId="0" applyFont="1" applyFill="1" applyBorder="1" applyAlignment="1">
      <alignment horizontal="center"/>
    </xf>
    <xf numFmtId="0" fontId="18" fillId="0" borderId="0" xfId="0" applyFont="1" applyAlignment="1">
      <alignment horizontal="center" wrapText="1"/>
    </xf>
    <xf numFmtId="0" fontId="29" fillId="8" borderId="21" xfId="0" applyFont="1" applyFill="1" applyBorder="1" applyAlignment="1">
      <alignment horizontal="center"/>
    </xf>
    <xf numFmtId="0" fontId="29" fillId="8" borderId="32" xfId="0" applyFont="1" applyFill="1" applyBorder="1" applyAlignment="1">
      <alignment horizontal="center"/>
    </xf>
    <xf numFmtId="0" fontId="29" fillId="8" borderId="33" xfId="0" applyFont="1" applyFill="1" applyBorder="1" applyAlignment="1">
      <alignment horizontal="center"/>
    </xf>
    <xf numFmtId="0" fontId="29" fillId="8" borderId="17" xfId="0" applyFont="1" applyFill="1" applyBorder="1" applyAlignment="1">
      <alignment horizontal="center"/>
    </xf>
    <xf numFmtId="0" fontId="29" fillId="8" borderId="31" xfId="0" applyFont="1" applyFill="1" applyBorder="1" applyAlignment="1">
      <alignment horizontal="center"/>
    </xf>
    <xf numFmtId="0" fontId="18" fillId="0" borderId="21" xfId="0" applyFont="1" applyBorder="1" applyAlignment="1">
      <alignment horizontal="center"/>
    </xf>
    <xf numFmtId="0" fontId="18" fillId="0" borderId="16" xfId="0" applyFont="1" applyBorder="1" applyAlignment="1">
      <alignment horizontal="center"/>
    </xf>
    <xf numFmtId="0" fontId="18" fillId="0" borderId="22" xfId="0" applyFont="1" applyBorder="1" applyAlignment="1">
      <alignment horizontal="center"/>
    </xf>
    <xf numFmtId="0" fontId="18" fillId="0" borderId="17" xfId="0" applyFont="1" applyBorder="1" applyAlignment="1">
      <alignment horizontal="center"/>
    </xf>
    <xf numFmtId="14" fontId="24" fillId="0" borderId="17" xfId="0" applyNumberFormat="1" applyFont="1" applyBorder="1" applyAlignment="1">
      <alignment horizontal="center"/>
    </xf>
    <xf numFmtId="0" fontId="24" fillId="0" borderId="17" xfId="0" applyFont="1" applyBorder="1" applyAlignment="1">
      <alignment horizontal="center"/>
    </xf>
    <xf numFmtId="0" fontId="24" fillId="0" borderId="21" xfId="0" applyFont="1" applyBorder="1" applyAlignment="1">
      <alignment horizontal="left" vertical="top"/>
    </xf>
    <xf numFmtId="0" fontId="24" fillId="0" borderId="16" xfId="0" applyFont="1" applyBorder="1" applyAlignment="1">
      <alignment horizontal="left" vertical="top"/>
    </xf>
    <xf numFmtId="0" fontId="24" fillId="0" borderId="22" xfId="0" applyFont="1" applyBorder="1" applyAlignment="1">
      <alignment horizontal="left" vertical="top"/>
    </xf>
    <xf numFmtId="0" fontId="146" fillId="23" borderId="39" xfId="37" applyFont="1" applyFill="1" applyBorder="1" applyAlignment="1">
      <alignment horizontal="right"/>
    </xf>
    <xf numFmtId="0" fontId="146" fillId="23" borderId="0" xfId="37" applyFont="1" applyFill="1" applyAlignment="1">
      <alignment horizontal="right"/>
    </xf>
    <xf numFmtId="0" fontId="150" fillId="0" borderId="17" xfId="38" applyFont="1" applyBorder="1" applyAlignment="1">
      <alignment horizontal="center" vertical="center"/>
    </xf>
    <xf numFmtId="0" fontId="151" fillId="0" borderId="17" xfId="38" applyFont="1" applyBorder="1" applyAlignment="1">
      <alignment horizontal="center" vertical="center"/>
    </xf>
    <xf numFmtId="0" fontId="1" fillId="23" borderId="75" xfId="37" applyFill="1" applyBorder="1" applyAlignment="1">
      <alignment horizontal="center"/>
    </xf>
    <xf numFmtId="0" fontId="1" fillId="23" borderId="66" xfId="37" applyFill="1" applyBorder="1" applyAlignment="1">
      <alignment horizontal="center"/>
    </xf>
    <xf numFmtId="0" fontId="1" fillId="23" borderId="82" xfId="37" applyFill="1" applyBorder="1" applyAlignment="1">
      <alignment horizontal="center"/>
    </xf>
    <xf numFmtId="0" fontId="143" fillId="23" borderId="105" xfId="37" applyFont="1" applyFill="1" applyBorder="1" applyAlignment="1">
      <alignment horizontal="center" vertical="center"/>
    </xf>
    <xf numFmtId="0" fontId="143" fillId="23" borderId="37" xfId="37" applyFont="1" applyFill="1" applyBorder="1" applyAlignment="1">
      <alignment horizontal="center" vertical="center"/>
    </xf>
    <xf numFmtId="0" fontId="143" fillId="23" borderId="106" xfId="37" applyFont="1" applyFill="1" applyBorder="1" applyAlignment="1">
      <alignment horizontal="center" vertical="center"/>
    </xf>
    <xf numFmtId="0" fontId="143" fillId="23" borderId="12" xfId="37" applyFont="1" applyFill="1" applyBorder="1" applyAlignment="1">
      <alignment horizontal="center" vertical="center"/>
    </xf>
    <xf numFmtId="0" fontId="143" fillId="23" borderId="13" xfId="37" applyFont="1" applyFill="1" applyBorder="1" applyAlignment="1">
      <alignment horizontal="center" vertical="center"/>
    </xf>
    <xf numFmtId="0" fontId="143" fillId="23" borderId="15" xfId="37" applyFont="1" applyFill="1" applyBorder="1" applyAlignment="1">
      <alignment horizontal="center" vertical="center"/>
    </xf>
    <xf numFmtId="0" fontId="1" fillId="23" borderId="107" xfId="37" applyFill="1" applyBorder="1" applyAlignment="1">
      <alignment horizontal="center" vertical="center"/>
    </xf>
    <xf numFmtId="0" fontId="1" fillId="23" borderId="109" xfId="37" applyFill="1" applyBorder="1" applyAlignment="1">
      <alignment horizontal="center" vertical="center"/>
    </xf>
    <xf numFmtId="0" fontId="1" fillId="23" borderId="110" xfId="37" applyFill="1" applyBorder="1" applyAlignment="1">
      <alignment horizontal="center" vertical="center"/>
    </xf>
    <xf numFmtId="0" fontId="66" fillId="23" borderId="19" xfId="37" applyFont="1" applyFill="1" applyBorder="1" applyAlignment="1">
      <alignment horizontal="center" vertical="center"/>
    </xf>
    <xf numFmtId="0" fontId="66" fillId="23" borderId="11" xfId="37" applyFont="1" applyFill="1" applyBorder="1" applyAlignment="1">
      <alignment horizontal="center" vertical="center"/>
    </xf>
    <xf numFmtId="0" fontId="66" fillId="23" borderId="20" xfId="37" applyFont="1" applyFill="1" applyBorder="1" applyAlignment="1">
      <alignment horizontal="center" vertical="center"/>
    </xf>
    <xf numFmtId="0" fontId="66" fillId="23" borderId="12" xfId="37" applyFont="1" applyFill="1" applyBorder="1" applyAlignment="1">
      <alignment horizontal="center" vertical="center"/>
    </xf>
    <xf numFmtId="0" fontId="66" fillId="23" borderId="13" xfId="37" applyFont="1" applyFill="1" applyBorder="1" applyAlignment="1">
      <alignment horizontal="center" vertical="center"/>
    </xf>
    <xf numFmtId="0" fontId="66" fillId="23" borderId="15" xfId="37" applyFont="1" applyFill="1" applyBorder="1" applyAlignment="1">
      <alignment horizontal="center" vertical="center"/>
    </xf>
    <xf numFmtId="0" fontId="143" fillId="23" borderId="0" xfId="37" applyFont="1" applyFill="1" applyAlignment="1">
      <alignment horizontal="center" vertical="center"/>
    </xf>
    <xf numFmtId="203" fontId="210" fillId="56" borderId="117" xfId="37" applyNumberFormat="1" applyFont="1" applyFill="1" applyBorder="1" applyAlignment="1">
      <alignment horizontal="center" vertical="center" wrapText="1"/>
    </xf>
    <xf numFmtId="203" fontId="210" fillId="56" borderId="17" xfId="37" applyNumberFormat="1" applyFont="1" applyFill="1" applyBorder="1" applyAlignment="1">
      <alignment horizontal="center" vertical="center" wrapText="1"/>
    </xf>
    <xf numFmtId="203" fontId="210" fillId="56" borderId="114" xfId="37" applyNumberFormat="1" applyFont="1" applyFill="1" applyBorder="1" applyAlignment="1">
      <alignment horizontal="center" vertical="center" wrapText="1"/>
    </xf>
    <xf numFmtId="2" fontId="214" fillId="56" borderId="17" xfId="37" applyNumberFormat="1" applyFont="1" applyFill="1" applyBorder="1" applyAlignment="1">
      <alignment horizontal="center" vertical="center" wrapText="1"/>
    </xf>
    <xf numFmtId="2" fontId="214" fillId="56" borderId="114" xfId="37" applyNumberFormat="1" applyFont="1" applyFill="1" applyBorder="1" applyAlignment="1">
      <alignment horizontal="center" vertical="center" wrapText="1"/>
    </xf>
    <xf numFmtId="10" fontId="214" fillId="56" borderId="17" xfId="37" applyNumberFormat="1" applyFont="1" applyFill="1" applyBorder="1" applyAlignment="1">
      <alignment horizontal="center" vertical="center" wrapText="1"/>
    </xf>
    <xf numFmtId="10" fontId="214" fillId="56" borderId="114" xfId="37" applyNumberFormat="1" applyFont="1" applyFill="1" applyBorder="1" applyAlignment="1">
      <alignment horizontal="center" vertical="center" wrapText="1"/>
    </xf>
    <xf numFmtId="203" fontId="210" fillId="56" borderId="130" xfId="37" applyNumberFormat="1" applyFont="1" applyFill="1" applyBorder="1" applyAlignment="1">
      <alignment horizontal="center" vertical="center" wrapText="1"/>
    </xf>
    <xf numFmtId="203" fontId="210" fillId="56" borderId="132" xfId="37" applyNumberFormat="1" applyFont="1" applyFill="1" applyBorder="1" applyAlignment="1">
      <alignment horizontal="center" vertical="center" wrapText="1"/>
    </xf>
    <xf numFmtId="2" fontId="214" fillId="56" borderId="130" xfId="37" applyNumberFormat="1" applyFont="1" applyFill="1" applyBorder="1" applyAlignment="1">
      <alignment horizontal="center" vertical="center" wrapText="1"/>
    </xf>
    <xf numFmtId="2" fontId="214" fillId="56" borderId="132" xfId="37" applyNumberFormat="1" applyFont="1" applyFill="1" applyBorder="1" applyAlignment="1">
      <alignment horizontal="center" vertical="center" wrapText="1"/>
    </xf>
    <xf numFmtId="10" fontId="214" fillId="56" borderId="130" xfId="37" applyNumberFormat="1" applyFont="1" applyFill="1" applyBorder="1" applyAlignment="1">
      <alignment horizontal="center" vertical="center" wrapText="1"/>
    </xf>
    <xf numFmtId="10" fontId="214" fillId="56" borderId="132" xfId="37" applyNumberFormat="1" applyFont="1" applyFill="1" applyBorder="1" applyAlignment="1">
      <alignment horizontal="center" vertical="center" wrapText="1"/>
    </xf>
    <xf numFmtId="14" fontId="211" fillId="56" borderId="51" xfId="37" applyNumberFormat="1" applyFont="1" applyFill="1" applyBorder="1" applyAlignment="1">
      <alignment horizontal="center" vertical="center"/>
    </xf>
    <xf numFmtId="14" fontId="211" fillId="56" borderId="52" xfId="37" applyNumberFormat="1" applyFont="1" applyFill="1" applyBorder="1" applyAlignment="1">
      <alignment horizontal="center" vertical="center"/>
    </xf>
    <xf numFmtId="14" fontId="211" fillId="56" borderId="47" xfId="37" applyNumberFormat="1" applyFont="1" applyFill="1" applyBorder="1" applyAlignment="1">
      <alignment horizontal="center" vertical="center"/>
    </xf>
    <xf numFmtId="0" fontId="210" fillId="56" borderId="84" xfId="48" applyFont="1" applyFill="1" applyBorder="1" applyAlignment="1">
      <alignment horizontal="center" vertical="center" wrapText="1"/>
    </xf>
    <xf numFmtId="0" fontId="4" fillId="0" borderId="142" xfId="52" applyBorder="1" applyAlignment="1">
      <alignment horizontal="center" wrapText="1"/>
    </xf>
    <xf numFmtId="0" fontId="4" fillId="0" borderId="143" xfId="52" applyBorder="1" applyAlignment="1">
      <alignment horizontal="center" wrapText="1"/>
    </xf>
    <xf numFmtId="0" fontId="4" fillId="0" borderId="144" xfId="52" applyBorder="1" applyAlignment="1">
      <alignment horizontal="center" wrapText="1"/>
    </xf>
    <xf numFmtId="0" fontId="4" fillId="0" borderId="146" xfId="52" applyBorder="1" applyAlignment="1">
      <alignment horizontal="center" wrapText="1"/>
    </xf>
    <xf numFmtId="0" fontId="4" fillId="0" borderId="0" xfId="52" applyAlignment="1">
      <alignment horizontal="center" wrapText="1"/>
    </xf>
    <xf numFmtId="0" fontId="4" fillId="0" borderId="147" xfId="52" applyBorder="1" applyAlignment="1">
      <alignment horizontal="center" wrapText="1"/>
    </xf>
    <xf numFmtId="0" fontId="4" fillId="0" borderId="148" xfId="52" applyBorder="1" applyAlignment="1">
      <alignment horizontal="center" wrapText="1"/>
    </xf>
    <xf numFmtId="0" fontId="4" fillId="0" borderId="149" xfId="52" applyBorder="1" applyAlignment="1">
      <alignment horizontal="center" wrapText="1"/>
    </xf>
    <xf numFmtId="0" fontId="4" fillId="0" borderId="150" xfId="52" applyBorder="1" applyAlignment="1">
      <alignment horizontal="center" wrapText="1"/>
    </xf>
    <xf numFmtId="0" fontId="155" fillId="23" borderId="145" xfId="52" applyFont="1" applyFill="1" applyBorder="1" applyAlignment="1">
      <alignment horizontal="center" vertical="center" wrapText="1"/>
    </xf>
    <xf numFmtId="0" fontId="188" fillId="23" borderId="145" xfId="52" applyFont="1" applyFill="1" applyBorder="1" applyAlignment="1">
      <alignment horizontal="center" vertical="center" wrapText="1"/>
    </xf>
    <xf numFmtId="0" fontId="189" fillId="23" borderId="0" xfId="52" applyFont="1" applyFill="1" applyAlignment="1">
      <alignment horizontal="center" vertical="top"/>
    </xf>
    <xf numFmtId="0" fontId="155" fillId="23" borderId="152" xfId="52" applyFont="1" applyFill="1" applyBorder="1" applyAlignment="1">
      <alignment horizontal="center" vertical="center" wrapText="1"/>
    </xf>
    <xf numFmtId="0" fontId="155" fillId="23" borderId="153" xfId="52" applyFont="1" applyFill="1" applyBorder="1" applyAlignment="1">
      <alignment horizontal="center" vertical="center" wrapText="1"/>
    </xf>
    <xf numFmtId="0" fontId="155" fillId="23" borderId="154" xfId="52" applyFont="1" applyFill="1" applyBorder="1" applyAlignment="1">
      <alignment horizontal="center" vertical="center" wrapText="1"/>
    </xf>
    <xf numFmtId="0" fontId="155" fillId="23" borderId="148" xfId="52" applyFont="1" applyFill="1" applyBorder="1" applyAlignment="1">
      <alignment horizontal="center" vertical="center" wrapText="1"/>
    </xf>
    <xf numFmtId="0" fontId="155" fillId="23" borderId="149" xfId="52" applyFont="1" applyFill="1" applyBorder="1" applyAlignment="1">
      <alignment horizontal="center" vertical="center" wrapText="1"/>
    </xf>
    <xf numFmtId="0" fontId="155" fillId="23" borderId="150" xfId="52" applyFont="1" applyFill="1" applyBorder="1" applyAlignment="1">
      <alignment horizontal="center" vertical="center" wrapText="1"/>
    </xf>
    <xf numFmtId="0" fontId="6" fillId="0" borderId="145" xfId="51" applyFont="1" applyBorder="1" applyAlignment="1">
      <alignment horizontal="center" vertical="center"/>
    </xf>
    <xf numFmtId="14" fontId="6" fillId="0" borderId="145" xfId="51" applyNumberFormat="1" applyFont="1" applyBorder="1" applyAlignment="1">
      <alignment horizontal="center" vertical="center"/>
    </xf>
    <xf numFmtId="0" fontId="35" fillId="0" borderId="51" xfId="55" applyFont="1" applyBorder="1" applyAlignment="1">
      <alignment horizontal="center"/>
    </xf>
    <xf numFmtId="0" fontId="35" fillId="0" borderId="52" xfId="55" applyFont="1" applyBorder="1" applyAlignment="1">
      <alignment horizontal="center"/>
    </xf>
    <xf numFmtId="0" fontId="35" fillId="0" borderId="47" xfId="55" applyFont="1" applyBorder="1" applyAlignment="1">
      <alignment horizontal="center"/>
    </xf>
    <xf numFmtId="14" fontId="198" fillId="12" borderId="48" xfId="55" applyNumberFormat="1" applyFont="1" applyFill="1" applyBorder="1" applyAlignment="1">
      <alignment horizontal="center"/>
    </xf>
    <xf numFmtId="14" fontId="198" fillId="12" borderId="49" xfId="55" applyNumberFormat="1" applyFont="1" applyFill="1" applyBorder="1" applyAlignment="1">
      <alignment horizontal="center"/>
    </xf>
    <xf numFmtId="0" fontId="198" fillId="12" borderId="49" xfId="55" applyFont="1" applyFill="1" applyBorder="1" applyAlignment="1">
      <alignment horizontal="center"/>
    </xf>
    <xf numFmtId="0" fontId="198" fillId="12" borderId="50" xfId="55" applyFont="1" applyFill="1" applyBorder="1" applyAlignment="1">
      <alignment horizontal="center"/>
    </xf>
    <xf numFmtId="0" fontId="55" fillId="0" borderId="51" xfId="55" applyFont="1" applyBorder="1" applyAlignment="1">
      <alignment horizontal="center" wrapText="1"/>
    </xf>
    <xf numFmtId="0" fontId="55" fillId="0" borderId="52" xfId="55" applyFont="1" applyBorder="1" applyAlignment="1">
      <alignment horizontal="center" wrapText="1"/>
    </xf>
    <xf numFmtId="0" fontId="55" fillId="0" borderId="47" xfId="55" applyFont="1" applyBorder="1" applyAlignment="1">
      <alignment horizontal="center" wrapText="1"/>
    </xf>
    <xf numFmtId="0" fontId="55" fillId="0" borderId="51" xfId="55" applyFont="1" applyBorder="1" applyAlignment="1">
      <alignment horizontal="center"/>
    </xf>
    <xf numFmtId="0" fontId="55" fillId="0" borderId="52" xfId="55" applyFont="1" applyBorder="1" applyAlignment="1">
      <alignment horizontal="center"/>
    </xf>
    <xf numFmtId="0" fontId="55" fillId="0" borderId="47" xfId="55" applyFont="1" applyBorder="1" applyAlignment="1">
      <alignment horizontal="center"/>
    </xf>
    <xf numFmtId="0" fontId="198" fillId="0" borderId="51" xfId="55" applyFont="1" applyBorder="1" applyAlignment="1">
      <alignment horizontal="center"/>
    </xf>
    <xf numFmtId="0" fontId="198" fillId="0" borderId="52" xfId="55" applyFont="1" applyBorder="1" applyAlignment="1">
      <alignment horizontal="center"/>
    </xf>
    <xf numFmtId="0" fontId="198" fillId="0" borderId="47" xfId="55" applyFont="1" applyBorder="1" applyAlignment="1">
      <alignment horizontal="center"/>
    </xf>
    <xf numFmtId="0" fontId="194" fillId="8" borderId="44" xfId="54" applyFont="1" applyFill="1" applyBorder="1" applyAlignment="1">
      <alignment horizontal="center" vertical="center"/>
    </xf>
    <xf numFmtId="0" fontId="194" fillId="8" borderId="155" xfId="54" applyFont="1" applyFill="1" applyBorder="1" applyAlignment="1">
      <alignment horizontal="center" vertical="center"/>
    </xf>
    <xf numFmtId="0" fontId="194" fillId="8" borderId="45" xfId="54" applyFont="1" applyFill="1" applyBorder="1" applyAlignment="1">
      <alignment horizontal="center" vertical="center"/>
    </xf>
    <xf numFmtId="0" fontId="194" fillId="8" borderId="156" xfId="54" applyFont="1" applyFill="1" applyBorder="1" applyAlignment="1">
      <alignment horizontal="center" vertical="center"/>
    </xf>
    <xf numFmtId="0" fontId="194" fillId="8" borderId="46" xfId="54" applyFont="1" applyFill="1" applyBorder="1" applyAlignment="1">
      <alignment horizontal="center" vertical="center"/>
    </xf>
    <xf numFmtId="2" fontId="196" fillId="0" borderId="36" xfId="54" applyNumberFormat="1" applyFont="1" applyBorder="1" applyAlignment="1">
      <alignment horizontal="center" vertical="center" wrapText="1"/>
    </xf>
    <xf numFmtId="2" fontId="196" fillId="0" borderId="37" xfId="54" applyNumberFormat="1" applyFont="1" applyBorder="1" applyAlignment="1">
      <alignment horizontal="center" vertical="center" wrapText="1"/>
    </xf>
    <xf numFmtId="2" fontId="196" fillId="0" borderId="38" xfId="54" applyNumberFormat="1" applyFont="1" applyBorder="1" applyAlignment="1">
      <alignment horizontal="center" vertical="center" wrapText="1"/>
    </xf>
    <xf numFmtId="0" fontId="197" fillId="0" borderId="116" xfId="55" applyFont="1" applyBorder="1" applyAlignment="1">
      <alignment horizontal="center"/>
    </xf>
    <xf numFmtId="0" fontId="197" fillId="0" borderId="49" xfId="55" applyFont="1" applyBorder="1" applyAlignment="1">
      <alignment horizontal="center"/>
    </xf>
    <xf numFmtId="0" fontId="197" fillId="0" borderId="157" xfId="55" applyFont="1" applyBorder="1" applyAlignment="1">
      <alignment horizontal="center"/>
    </xf>
    <xf numFmtId="0" fontId="197" fillId="0" borderId="129" xfId="55" applyFont="1" applyBorder="1" applyAlignment="1">
      <alignment horizontal="center"/>
    </xf>
    <xf numFmtId="0" fontId="197" fillId="0" borderId="158" xfId="55" applyFont="1" applyBorder="1" applyAlignment="1">
      <alignment horizontal="center"/>
    </xf>
    <xf numFmtId="0" fontId="197" fillId="0" borderId="159" xfId="55" applyFont="1" applyBorder="1" applyAlignment="1">
      <alignment horizontal="center"/>
    </xf>
    <xf numFmtId="0" fontId="197" fillId="0" borderId="131" xfId="55" applyFont="1" applyBorder="1" applyAlignment="1">
      <alignment horizontal="center"/>
    </xf>
    <xf numFmtId="0" fontId="197" fillId="0" borderId="160" xfId="55" applyFont="1" applyBorder="1" applyAlignment="1">
      <alignment horizontal="center"/>
    </xf>
    <xf numFmtId="0" fontId="197" fillId="0" borderId="161" xfId="55" applyFont="1" applyBorder="1" applyAlignment="1">
      <alignment horizontal="center"/>
    </xf>
    <xf numFmtId="0" fontId="32" fillId="0" borderId="51" xfId="54" applyFont="1" applyBorder="1" applyAlignment="1">
      <alignment horizontal="center" vertical="center"/>
    </xf>
    <xf numFmtId="0" fontId="32" fillId="0" borderId="52" xfId="54" applyFont="1" applyBorder="1" applyAlignment="1">
      <alignment horizontal="center" vertical="center"/>
    </xf>
    <xf numFmtId="0" fontId="32" fillId="0" borderId="47" xfId="54" applyFont="1" applyBorder="1" applyAlignment="1">
      <alignment horizontal="center" vertical="center"/>
    </xf>
    <xf numFmtId="0" fontId="146" fillId="23" borderId="39" xfId="51" applyFont="1" applyFill="1" applyBorder="1" applyAlignment="1">
      <alignment horizontal="right"/>
    </xf>
    <xf numFmtId="0" fontId="146" fillId="23" borderId="0" xfId="51" applyFont="1" applyFill="1" applyAlignment="1">
      <alignment horizontal="right"/>
    </xf>
    <xf numFmtId="0" fontId="150" fillId="0" borderId="130" xfId="38" applyFont="1" applyBorder="1" applyAlignment="1">
      <alignment horizontal="center" vertical="center"/>
    </xf>
    <xf numFmtId="0" fontId="151" fillId="0" borderId="130" xfId="38" applyFont="1" applyBorder="1" applyAlignment="1">
      <alignment horizontal="center" vertical="center"/>
    </xf>
    <xf numFmtId="0" fontId="1" fillId="23" borderId="75" xfId="51" applyFill="1" applyBorder="1" applyAlignment="1">
      <alignment horizontal="center"/>
    </xf>
    <xf numFmtId="0" fontId="1" fillId="23" borderId="66" xfId="51" applyFill="1" applyBorder="1" applyAlignment="1">
      <alignment horizontal="center"/>
    </xf>
    <xf numFmtId="0" fontId="1" fillId="23" borderId="82" xfId="51" applyFill="1" applyBorder="1" applyAlignment="1">
      <alignment horizontal="center"/>
    </xf>
    <xf numFmtId="0" fontId="143" fillId="23" borderId="105" xfId="51" applyFont="1" applyFill="1" applyBorder="1" applyAlignment="1">
      <alignment horizontal="center" vertical="center"/>
    </xf>
    <xf numFmtId="0" fontId="143" fillId="23" borderId="37" xfId="51" applyFont="1" applyFill="1" applyBorder="1" applyAlignment="1">
      <alignment horizontal="center" vertical="center"/>
    </xf>
    <xf numFmtId="0" fontId="143" fillId="23" borderId="106" xfId="51" applyFont="1" applyFill="1" applyBorder="1" applyAlignment="1">
      <alignment horizontal="center" vertical="center"/>
    </xf>
    <xf numFmtId="0" fontId="143" fillId="23" borderId="12" xfId="51" applyFont="1" applyFill="1" applyBorder="1" applyAlignment="1">
      <alignment horizontal="center" vertical="center"/>
    </xf>
    <xf numFmtId="0" fontId="143" fillId="23" borderId="13" xfId="51" applyFont="1" applyFill="1" applyBorder="1" applyAlignment="1">
      <alignment horizontal="center" vertical="center"/>
    </xf>
    <xf numFmtId="0" fontId="143" fillId="23" borderId="15" xfId="51" applyFont="1" applyFill="1" applyBorder="1" applyAlignment="1">
      <alignment horizontal="center" vertical="center"/>
    </xf>
    <xf numFmtId="0" fontId="1" fillId="23" borderId="107" xfId="51" applyFill="1" applyBorder="1" applyAlignment="1">
      <alignment horizontal="center" vertical="center"/>
    </xf>
    <xf numFmtId="0" fontId="1" fillId="23" borderId="109" xfId="51" applyFill="1" applyBorder="1" applyAlignment="1">
      <alignment horizontal="center" vertical="center"/>
    </xf>
    <xf numFmtId="0" fontId="1" fillId="23" borderId="110" xfId="51" applyFill="1" applyBorder="1" applyAlignment="1">
      <alignment horizontal="center" vertical="center"/>
    </xf>
    <xf numFmtId="0" fontId="66" fillId="23" borderId="139" xfId="51" applyFont="1" applyFill="1" applyBorder="1" applyAlignment="1">
      <alignment horizontal="center" vertical="center"/>
    </xf>
    <xf numFmtId="0" fontId="66" fillId="23" borderId="153" xfId="51" applyFont="1" applyFill="1" applyBorder="1" applyAlignment="1">
      <alignment horizontal="center" vertical="center"/>
    </xf>
    <xf numFmtId="0" fontId="66" fillId="23" borderId="162" xfId="51" applyFont="1" applyFill="1" applyBorder="1" applyAlignment="1">
      <alignment horizontal="center" vertical="center"/>
    </xf>
    <xf numFmtId="0" fontId="66" fillId="23" borderId="12" xfId="51" applyFont="1" applyFill="1" applyBorder="1" applyAlignment="1">
      <alignment horizontal="center" vertical="center"/>
    </xf>
    <xf numFmtId="0" fontId="66" fillId="23" borderId="13" xfId="51" applyFont="1" applyFill="1" applyBorder="1" applyAlignment="1">
      <alignment horizontal="center" vertical="center"/>
    </xf>
    <xf numFmtId="0" fontId="66" fillId="23" borderId="15" xfId="51" applyFont="1" applyFill="1" applyBorder="1" applyAlignment="1">
      <alignment horizontal="center" vertical="center"/>
    </xf>
    <xf numFmtId="0" fontId="143" fillId="23" borderId="0" xfId="51" applyFont="1" applyFill="1" applyAlignment="1">
      <alignment horizontal="center" vertical="center"/>
    </xf>
    <xf numFmtId="0" fontId="51" fillId="0" borderId="117" xfId="45" applyFont="1" applyBorder="1" applyAlignment="1">
      <alignment horizontal="center" vertical="center" wrapText="1"/>
    </xf>
    <xf numFmtId="0" fontId="51" fillId="0" borderId="157" xfId="45" applyFont="1" applyBorder="1" applyAlignment="1">
      <alignment horizontal="center" vertical="center" wrapText="1"/>
    </xf>
    <xf numFmtId="0" fontId="253" fillId="83" borderId="197" xfId="0" applyFont="1" applyFill="1" applyBorder="1" applyAlignment="1">
      <alignment horizontal="center"/>
    </xf>
    <xf numFmtId="0" fontId="0" fillId="83" borderId="198" xfId="0" applyFill="1" applyBorder="1"/>
    <xf numFmtId="0" fontId="253" fillId="83" borderId="137" xfId="0" applyFont="1" applyFill="1" applyBorder="1" applyAlignment="1">
      <alignment horizontal="center"/>
    </xf>
    <xf numFmtId="0" fontId="0" fillId="83" borderId="163" xfId="0" applyFill="1" applyBorder="1"/>
    <xf numFmtId="0" fontId="232" fillId="0" borderId="137" xfId="45" applyFont="1" applyBorder="1" applyAlignment="1">
      <alignment horizontal="center" vertical="center"/>
    </xf>
    <xf numFmtId="0" fontId="232" fillId="0" borderId="158" xfId="45" applyFont="1" applyBorder="1" applyAlignment="1">
      <alignment horizontal="center" vertical="center"/>
    </xf>
    <xf numFmtId="0" fontId="232" fillId="0" borderId="163" xfId="45" applyFont="1" applyBorder="1" applyAlignment="1">
      <alignment horizontal="center" vertical="center"/>
    </xf>
    <xf numFmtId="210" fontId="51" fillId="0" borderId="12" xfId="45" applyNumberFormat="1" applyFont="1" applyBorder="1" applyAlignment="1">
      <alignment horizontal="center" vertical="center"/>
    </xf>
    <xf numFmtId="210" fontId="51" fillId="0" borderId="13" xfId="45" applyNumberFormat="1" applyFont="1" applyBorder="1" applyAlignment="1">
      <alignment horizontal="center" vertical="center"/>
    </xf>
    <xf numFmtId="210" fontId="51" fillId="0" borderId="158" xfId="45" applyNumberFormat="1" applyFont="1" applyBorder="1" applyAlignment="1">
      <alignment horizontal="center" vertical="center"/>
    </xf>
    <xf numFmtId="210" fontId="51" fillId="0" borderId="163" xfId="45" applyNumberFormat="1" applyFont="1" applyBorder="1" applyAlignment="1">
      <alignment horizontal="center" vertical="center"/>
    </xf>
    <xf numFmtId="210" fontId="51" fillId="0" borderId="137" xfId="45" applyNumberFormat="1" applyFont="1" applyBorder="1" applyAlignment="1">
      <alignment horizontal="center" vertical="center"/>
    </xf>
    <xf numFmtId="0" fontId="247" fillId="76" borderId="130" xfId="51" applyFont="1" applyFill="1" applyBorder="1" applyAlignment="1">
      <alignment horizontal="left" vertical="center" wrapText="1"/>
    </xf>
    <xf numFmtId="212" fontId="246" fillId="46" borderId="130" xfId="59" applyNumberFormat="1" applyFont="1" applyFill="1" applyBorder="1" applyAlignment="1">
      <alignment horizontal="center" vertical="center" wrapText="1"/>
    </xf>
    <xf numFmtId="0" fontId="248" fillId="23" borderId="130" xfId="51" applyFont="1" applyFill="1" applyBorder="1" applyAlignment="1">
      <alignment horizontal="left" vertical="center" wrapText="1"/>
    </xf>
    <xf numFmtId="0" fontId="53" fillId="79" borderId="38" xfId="45" applyFont="1" applyFill="1" applyBorder="1" applyAlignment="1">
      <alignment horizontal="center" vertical="center" wrapText="1"/>
    </xf>
    <xf numFmtId="0" fontId="53" fillId="79" borderId="43" xfId="45" applyFont="1" applyFill="1" applyBorder="1" applyAlignment="1">
      <alignment horizontal="center" vertical="center" wrapText="1"/>
    </xf>
    <xf numFmtId="213" fontId="51" fillId="0" borderId="36" xfId="45" applyNumberFormat="1" applyFont="1" applyBorder="1" applyAlignment="1">
      <alignment horizontal="center" vertical="center"/>
    </xf>
    <xf numFmtId="213" fontId="51" fillId="0" borderId="37" xfId="45" applyNumberFormat="1" applyFont="1" applyBorder="1" applyAlignment="1">
      <alignment horizontal="center" vertical="center"/>
    </xf>
    <xf numFmtId="213" fontId="51" fillId="0" borderId="38" xfId="45" applyNumberFormat="1" applyFont="1" applyBorder="1" applyAlignment="1">
      <alignment horizontal="center" vertical="center"/>
    </xf>
    <xf numFmtId="214" fontId="51" fillId="0" borderId="36" xfId="45" applyNumberFormat="1" applyFont="1" applyBorder="1" applyAlignment="1">
      <alignment horizontal="center" vertical="center"/>
    </xf>
    <xf numFmtId="214" fontId="51" fillId="0" borderId="37" xfId="45" applyNumberFormat="1" applyFont="1" applyBorder="1" applyAlignment="1">
      <alignment horizontal="center" vertical="center"/>
    </xf>
    <xf numFmtId="214" fontId="51" fillId="0" borderId="38" xfId="45" applyNumberFormat="1" applyFont="1" applyBorder="1" applyAlignment="1">
      <alignment horizontal="center" vertical="center"/>
    </xf>
    <xf numFmtId="210" fontId="53" fillId="74" borderId="57" xfId="45" applyNumberFormat="1" applyFont="1" applyFill="1" applyBorder="1" applyAlignment="1">
      <alignment horizontal="center" vertical="center"/>
    </xf>
    <xf numFmtId="210" fontId="53" fillId="74" borderId="13" xfId="45" applyNumberFormat="1" applyFont="1" applyFill="1" applyBorder="1" applyAlignment="1">
      <alignment horizontal="center" vertical="center"/>
    </xf>
    <xf numFmtId="210" fontId="53" fillId="74" borderId="58" xfId="45" applyNumberFormat="1" applyFont="1" applyFill="1" applyBorder="1" applyAlignment="1">
      <alignment horizontal="center" vertical="center"/>
    </xf>
    <xf numFmtId="213" fontId="239" fillId="16" borderId="48" xfId="60" applyNumberFormat="1" applyFont="1" applyFill="1" applyBorder="1" applyAlignment="1">
      <alignment horizontal="center" vertical="center" wrapText="1"/>
    </xf>
    <xf numFmtId="213" fontId="239" fillId="16" borderId="50" xfId="60" applyNumberFormat="1" applyFont="1" applyFill="1" applyBorder="1" applyAlignment="1">
      <alignment horizontal="center" vertical="center" wrapText="1"/>
    </xf>
  </cellXfs>
  <cellStyles count="62">
    <cellStyle name="Buena" xfId="1" xr:uid="{00000000-0005-0000-0000-000000000000}"/>
    <cellStyle name="Cancel" xfId="2" xr:uid="{00000000-0005-0000-0000-000001000000}"/>
    <cellStyle name="Cancel 2" xfId="3" xr:uid="{00000000-0005-0000-0000-000002000000}"/>
    <cellStyle name="Cancel 2 2 2 2" xfId="45" xr:uid="{E22DB4EB-0587-48BC-A9C5-8F31A80B8CF6}"/>
    <cellStyle name="Cancel 3" xfId="4" xr:uid="{00000000-0005-0000-0000-000003000000}"/>
    <cellStyle name="Cancel_DS-AMEC-3000-7-18-3008  Rev.A" xfId="5" xr:uid="{00000000-0005-0000-0000-000004000000}"/>
    <cellStyle name="Celda de comprobación" xfId="6" xr:uid="{00000000-0005-0000-0000-000005000000}"/>
    <cellStyle name="Celda vinculada" xfId="7" xr:uid="{00000000-0005-0000-0000-000006000000}"/>
    <cellStyle name="Encabezado 4" xfId="8" xr:uid="{00000000-0005-0000-0000-000007000000}"/>
    <cellStyle name="Entrada" xfId="9" xr:uid="{00000000-0005-0000-0000-000008000000}"/>
    <cellStyle name="Euro" xfId="10" xr:uid="{00000000-0005-0000-0000-000009000000}"/>
    <cellStyle name="Hipervínculo" xfId="24" builtinId="8"/>
    <cellStyle name="Lien hypertexte" xfId="11" xr:uid="{00000000-0005-0000-0000-00000A000000}"/>
    <cellStyle name="Lien hypertexte visité" xfId="12" xr:uid="{00000000-0005-0000-0000-00000B000000}"/>
    <cellStyle name="Millares" xfId="23" builtinId="3"/>
    <cellStyle name="Millares 16" xfId="49" xr:uid="{E8E52F2C-07D0-4ADA-82BF-37D1C9045548}"/>
    <cellStyle name="Millares 23 2 5 2" xfId="58" xr:uid="{5777BA3C-8FFD-449C-AA82-B22058C37AAF}"/>
    <cellStyle name="Millares 3 5" xfId="59" xr:uid="{4A87CF89-2960-4A1A-A0E8-B150C5398DF2}"/>
    <cellStyle name="Millares 4" xfId="30" xr:uid="{7B3A0B3C-3D7E-4E0E-8498-785184835B45}"/>
    <cellStyle name="Millares 4 2" xfId="28" xr:uid="{793E9A7E-53C3-4C3E-8738-AA2CF720ED56}"/>
    <cellStyle name="Millares 4 2 2 2 2 2 2 3" xfId="61" xr:uid="{05BE37A1-70E2-4EAD-87A2-0FE1637EAAAD}"/>
    <cellStyle name="Millares 5 26 2" xfId="57" xr:uid="{03D8EC53-C71A-4C8A-8F52-145C96454F36}"/>
    <cellStyle name="Moneda 2" xfId="29" xr:uid="{3AF5D9CB-4C62-40A2-BEC2-40AB373C732F}"/>
    <cellStyle name="NoRB_Left" xfId="13" xr:uid="{00000000-0005-0000-0000-00000C000000}"/>
    <cellStyle name="Normal" xfId="0" builtinId="0"/>
    <cellStyle name="Normal - Style1" xfId="41" xr:uid="{F0F36E77-49AE-4C18-A96E-694CE9E5C1E1}"/>
    <cellStyle name="Normal 10" xfId="20" xr:uid="{57DA4239-672E-487F-A99D-08D8BB603E95}"/>
    <cellStyle name="Normal 2" xfId="14" xr:uid="{00000000-0005-0000-0000-00000E000000}"/>
    <cellStyle name="Normal 2 2" xfId="15" xr:uid="{00000000-0005-0000-0000-00000F000000}"/>
    <cellStyle name="Normal 2 2 2 2" xfId="35" xr:uid="{E3503575-7730-4ACF-90B8-D424002E4E41}"/>
    <cellStyle name="Normal 2 3" xfId="19" xr:uid="{A32BBE68-3284-45D1-A21B-F6A05F303F71}"/>
    <cellStyle name="Normal 2 3 3" xfId="60" xr:uid="{D9654720-6AD4-400C-AE1F-82E6AD068BC3}"/>
    <cellStyle name="Normal 2 6" xfId="39" xr:uid="{8D34B777-2866-4E20-B0D6-DC87BDE98EB2}"/>
    <cellStyle name="Normal 3" xfId="21" xr:uid="{3B5E1953-621F-4782-B473-0DC81F0A97F1}"/>
    <cellStyle name="Normal 3 10" xfId="53" xr:uid="{8F2F6C4F-220E-48CF-B6F0-B8FFC674B379}"/>
    <cellStyle name="Normal 3 2" xfId="25" xr:uid="{C948DB3C-0F88-4C84-A7D0-30663DBA4F29}"/>
    <cellStyle name="Normal 3 2 10" xfId="52" xr:uid="{89F751E7-E4F8-45BA-A5E0-12CD076DE9EF}"/>
    <cellStyle name="Normal 3 2 2 2" xfId="38" xr:uid="{1A0FE8C4-616A-4BCA-B785-701427F33282}"/>
    <cellStyle name="Normal 3 4 2" xfId="34" xr:uid="{A90524C9-DDCB-43F1-85D9-6470BE6ECA1A}"/>
    <cellStyle name="Normal 4" xfId="33" xr:uid="{935F6C59-79CD-4C1C-8735-5CD6D965443F}"/>
    <cellStyle name="Normal 4 2" xfId="32" xr:uid="{2BDF8366-C8B4-4580-BC26-F3666D2B4A5E}"/>
    <cellStyle name="Normal 5" xfId="36" xr:uid="{1FF166CA-5B3F-4B48-BBFE-BBFBEFC0D3C0}"/>
    <cellStyle name="Normal 5 2" xfId="51" xr:uid="{56AA9A32-EBD4-45B7-AC65-E681F9CC8314}"/>
    <cellStyle name="Normal 5 21" xfId="54" xr:uid="{5163E6D3-AEF1-478B-A872-B03ECFBEAC2E}"/>
    <cellStyle name="Normal 6" xfId="22" xr:uid="{3E2D541A-D018-42B1-B368-0DA716C15D14}"/>
    <cellStyle name="Normal 6 2" xfId="31" xr:uid="{CB0B36D6-D0A1-4370-85BE-2FF7A232460C}"/>
    <cellStyle name="Normal 7" xfId="37" xr:uid="{D783CE17-8C76-4ADA-AA12-83C03C47D686}"/>
    <cellStyle name="Normal 72" xfId="44" xr:uid="{5AEB9D17-3713-4E1F-A4FC-185AAA38B363}"/>
    <cellStyle name="Normal 73" xfId="40" xr:uid="{7DA5A3E7-2ADA-4FBC-B982-5A87246229C0}"/>
    <cellStyle name="Normal 75 2 9" xfId="55" xr:uid="{A9A4136A-20D7-4AE4-92F0-EBB20D56BD5B}"/>
    <cellStyle name="Normal_3 SEMANAS DEL 24 AL 30 DE MARZO" xfId="50" xr:uid="{CC6E984E-BE1B-4F7B-81E2-0D7B9E5DDE7A}"/>
    <cellStyle name="Normal_CURVA S DEL 17 AL 22 DE MARZO" xfId="48" xr:uid="{EC470E52-7B3F-427E-A494-6A40C946657B}"/>
    <cellStyle name="Normal_Quantity  Jobhour Form 26wk 2" xfId="42" xr:uid="{EB75F473-8353-4F3B-A23F-FFD371E98172}"/>
    <cellStyle name="Normal_TARIFAS PROPUESTAS PARA CONGA 2" xfId="27" xr:uid="{151F6A80-B54F-4E68-A2D4-C9BA8B90D2A2}"/>
    <cellStyle name="Notas" xfId="16" xr:uid="{00000000-0005-0000-0000-000010000000}"/>
    <cellStyle name="Percent 29" xfId="43" xr:uid="{95801EB0-BEF0-4CFC-9C00-0FDF01F3F061}"/>
    <cellStyle name="Porcentaje 2" xfId="26" xr:uid="{C77C5C47-8353-43E6-83E1-3DAEA46AB776}"/>
    <cellStyle name="Porcentaje 3" xfId="47" xr:uid="{460B7A43-C7E4-4AE9-97FC-044835BE7921}"/>
    <cellStyle name="Porcentaje 3 4" xfId="46" xr:uid="{D8D620F2-155C-4D86-B681-DC81E9EADDC9}"/>
    <cellStyle name="Porcentaje 4 4" xfId="56" xr:uid="{49497003-E001-4D7B-801A-5543753088A7}"/>
    <cellStyle name="RB_Centre" xfId="17" xr:uid="{00000000-0005-0000-0000-000011000000}"/>
    <cellStyle name="Texto de advertencia" xfId="18" xr:uid="{00000000-0005-0000-0000-000012000000}"/>
  </cellStyles>
  <dxfs count="67">
    <dxf>
      <fill>
        <patternFill patternType="solid">
          <fgColor indexed="64"/>
          <bgColor rgb="FFC6EFCE"/>
        </patternFill>
      </fill>
    </dxf>
    <dxf>
      <fill>
        <patternFill patternType="solid">
          <fgColor indexed="64"/>
          <bgColor rgb="FFFFE699"/>
        </patternFill>
      </fill>
    </dxf>
    <dxf>
      <font>
        <b/>
        <i val="0"/>
      </font>
      <fill>
        <patternFill>
          <bgColor rgb="FFFF0000"/>
        </patternFill>
      </fill>
    </dxf>
    <dxf>
      <font>
        <b/>
        <i val="0"/>
      </font>
      <fill>
        <patternFill>
          <bgColor rgb="FFFFFF00"/>
        </patternFill>
      </fill>
    </dxf>
    <dxf>
      <font>
        <b/>
        <i val="0"/>
      </font>
      <fill>
        <patternFill>
          <bgColor rgb="FF00B050"/>
        </patternFill>
      </fill>
    </dxf>
    <dxf>
      <font>
        <color rgb="FFFFFFFF"/>
      </font>
    </dxf>
    <dxf>
      <fill>
        <patternFill>
          <bgColor theme="9" tint="-0.24994659260841701"/>
        </patternFill>
      </fill>
    </dxf>
    <dxf>
      <fill>
        <patternFill patternType="solid">
          <fgColor indexed="64"/>
          <bgColor rgb="FFC6EFCE"/>
        </patternFill>
      </fill>
    </dxf>
    <dxf>
      <fill>
        <patternFill patternType="solid">
          <fgColor indexed="64"/>
          <bgColor rgb="FFC6EFCE"/>
        </patternFill>
      </fill>
    </dxf>
    <dxf>
      <fill>
        <patternFill patternType="solid">
          <fgColor indexed="64"/>
          <bgColor rgb="FFC6EFCE"/>
        </patternFill>
      </fill>
    </dxf>
    <dxf>
      <font>
        <color rgb="FF006100"/>
      </font>
      <fill>
        <patternFill>
          <bgColor rgb="FFC6EFCE"/>
        </patternFill>
      </fill>
    </dxf>
    <dxf>
      <font>
        <color rgb="FF9C5700"/>
      </font>
      <fill>
        <patternFill>
          <bgColor rgb="FFFFEB9C"/>
        </patternFill>
      </fill>
    </dxf>
    <dxf>
      <fill>
        <patternFill>
          <bgColor theme="5" tint="0.39994506668294322"/>
        </patternFill>
      </fill>
    </dxf>
    <dxf>
      <fill>
        <patternFill>
          <bgColor theme="5" tint="0.39994506668294322"/>
        </patternFill>
      </fill>
    </dxf>
    <dxf>
      <fill>
        <patternFill>
          <bgColor theme="8" tint="0.39994506668294322"/>
        </patternFill>
      </fill>
    </dxf>
    <dxf>
      <fill>
        <patternFill>
          <bgColor theme="6" tint="0.39994506668294322"/>
        </patternFill>
      </fill>
    </dxf>
    <dxf>
      <fill>
        <patternFill>
          <bgColor rgb="FF0070C0"/>
        </patternFill>
      </fill>
    </dxf>
    <dxf>
      <fill>
        <patternFill>
          <bgColor rgb="FFFFECEB"/>
        </patternFill>
      </fill>
    </dxf>
    <dxf>
      <font>
        <color rgb="FF006100"/>
      </font>
      <fill>
        <patternFill patternType="solid">
          <fgColor indexed="64"/>
          <bgColor rgb="FFC6EFCE"/>
        </patternFill>
      </fill>
    </dxf>
    <dxf>
      <font>
        <color auto="1"/>
      </font>
      <fill>
        <patternFill>
          <bgColor rgb="FF92D050"/>
        </patternFill>
      </fill>
    </dxf>
    <dxf>
      <font>
        <color rgb="FF006100"/>
      </font>
      <fill>
        <patternFill patternType="solid">
          <fgColor indexed="64"/>
          <bgColor rgb="FFC6EFCE"/>
        </patternFill>
      </fill>
    </dxf>
    <dxf>
      <font>
        <color auto="1"/>
      </font>
      <fill>
        <patternFill>
          <bgColor theme="5"/>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5" tint="0.39994506668294322"/>
        </patternFill>
      </fill>
    </dxf>
    <dxf>
      <font>
        <color theme="0"/>
      </font>
      <fill>
        <patternFill>
          <bgColor theme="3" tint="-0.24994659260841701"/>
        </patternFill>
      </fill>
    </dxf>
    <dxf>
      <font>
        <color theme="0"/>
      </font>
      <fill>
        <patternFill>
          <bgColor rgb="FFFF0000"/>
        </patternFill>
      </fill>
    </dxf>
    <dxf>
      <font>
        <color theme="1"/>
      </font>
      <fill>
        <patternFill>
          <bgColor rgb="FFFFFF00"/>
        </patternFill>
      </fill>
    </dxf>
    <dxf>
      <fill>
        <patternFill>
          <bgColor theme="9" tint="-0.24994659260841701"/>
        </patternFill>
      </fill>
    </dxf>
    <dxf>
      <fill>
        <patternFill>
          <bgColor theme="5" tint="0.39994506668294322"/>
        </patternFill>
      </fill>
    </dxf>
    <dxf>
      <font>
        <color theme="0"/>
      </font>
      <fill>
        <patternFill>
          <bgColor theme="3" tint="-0.24994659260841701"/>
        </patternFill>
      </fill>
    </dxf>
    <dxf>
      <font>
        <color theme="0"/>
      </font>
      <fill>
        <patternFill>
          <bgColor rgb="FFFF0000"/>
        </patternFill>
      </fill>
    </dxf>
    <dxf>
      <font>
        <color theme="1"/>
      </font>
      <fill>
        <patternFill>
          <bgColor rgb="FFFFFF00"/>
        </patternFill>
      </fill>
    </dxf>
    <dxf>
      <fill>
        <patternFill>
          <bgColor theme="9" tint="-0.24994659260841701"/>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5" tint="0.39994506668294322"/>
        </patternFill>
      </fill>
    </dxf>
    <dxf>
      <font>
        <color theme="0"/>
      </font>
      <fill>
        <patternFill>
          <bgColor theme="3" tint="-0.24994659260841701"/>
        </patternFill>
      </fill>
    </dxf>
    <dxf>
      <font>
        <color theme="0"/>
      </font>
      <fill>
        <patternFill>
          <bgColor rgb="FFFF0000"/>
        </patternFill>
      </fill>
    </dxf>
    <dxf>
      <font>
        <color theme="1"/>
      </font>
      <fill>
        <patternFill>
          <bgColor rgb="FFFFFF00"/>
        </patternFill>
      </fill>
    </dxf>
    <dxf>
      <fill>
        <patternFill>
          <bgColor theme="9"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patternType="solid">
          <fgColor indexed="64"/>
          <bgColor rgb="FF9DC3E6"/>
        </patternFill>
      </fill>
    </dxf>
    <dxf>
      <fill>
        <patternFill patternType="solid">
          <fgColor indexed="64"/>
          <bgColor rgb="FF9DC3E6"/>
        </patternFill>
      </fill>
    </dxf>
    <dxf>
      <font>
        <b/>
        <i val="0"/>
      </font>
    </dxf>
    <dxf>
      <font>
        <color rgb="FFED7D31"/>
      </font>
    </dxf>
    <dxf>
      <font>
        <color rgb="FF7BA7D7"/>
      </font>
    </dxf>
    <dxf>
      <font>
        <color rgb="FFFFF0C7"/>
      </font>
      <fill>
        <patternFill patternType="solid">
          <fgColor indexed="64"/>
          <bgColor rgb="FFFFF0C7"/>
        </patternFill>
      </fill>
      <border>
        <left style="thin">
          <color rgb="FFBF8F00"/>
        </left>
        <right style="thin">
          <color rgb="FFBF8F00"/>
        </right>
        <top style="thin">
          <color rgb="FFBF8F00"/>
        </top>
        <bottom style="thin">
          <color rgb="FFBF8F00"/>
        </bottom>
      </border>
    </dxf>
    <dxf>
      <font>
        <color rgb="FFE3EDF7"/>
      </font>
      <fill>
        <patternFill patternType="solid">
          <fgColor indexed="64"/>
          <bgColor rgb="FFE3EDF7"/>
        </patternFill>
      </fill>
      <border>
        <left style="thin">
          <color rgb="FF7BA7D7"/>
        </left>
        <right style="thin">
          <color rgb="FF7BA7D7"/>
        </right>
        <top style="thin">
          <color rgb="FF7BA7D7"/>
        </top>
        <bottom style="thin">
          <color rgb="FF7BA7D7"/>
        </bottom>
      </border>
    </dxf>
    <dxf>
      <font>
        <color rgb="FFD6E4F0"/>
      </font>
      <fill>
        <patternFill patternType="solid">
          <fgColor indexed="64"/>
          <bgColor rgb="FFD6E4F0"/>
        </patternFill>
      </fill>
      <border>
        <left style="thin">
          <color rgb="FF5B9BD5"/>
        </left>
        <right style="thin">
          <color rgb="FF5B9BD5"/>
        </right>
        <top style="thin">
          <color rgb="FF5B9BD5"/>
        </top>
        <bottom style="thin">
          <color rgb="FF5B9BD5"/>
        </bottom>
      </border>
    </dxf>
    <dxf>
      <font>
        <color rgb="FFBDD7EE"/>
      </font>
      <fill>
        <patternFill patternType="solid">
          <fgColor indexed="64"/>
          <bgColor rgb="FFBDD7EE"/>
        </patternFill>
      </fill>
      <border>
        <left style="thin">
          <color rgb="FF2E75B6"/>
        </left>
        <right style="thin">
          <color rgb="FF2E75B6"/>
        </right>
        <top style="thin">
          <color rgb="FF2E75B6"/>
        </top>
        <bottom style="thin">
          <color rgb="FF2E75B6"/>
        </bottom>
      </border>
    </dxf>
    <dxf>
      <font>
        <color rgb="FFAEBEDC"/>
      </font>
      <fill>
        <patternFill patternType="solid">
          <fgColor indexed="64"/>
          <bgColor rgb="FFAEBEDC"/>
        </patternFill>
      </fill>
      <border>
        <left style="thin">
          <color rgb="FF1F3864"/>
        </left>
        <right style="thin">
          <color rgb="FF1F3864"/>
        </right>
        <top style="thin">
          <color rgb="FF1F3864"/>
        </top>
        <bottom style="thin">
          <color rgb="FF1F3864"/>
        </bottom>
      </border>
    </dxf>
    <dxf>
      <font>
        <color rgb="FF1F4E78"/>
      </font>
      <fill>
        <patternFill patternType="solid">
          <fgColor indexed="64"/>
          <bgColor rgb="FFDDEBF7"/>
        </patternFill>
      </fill>
    </dxf>
    <dxf>
      <font>
        <color rgb="FF375623"/>
      </font>
      <fill>
        <patternFill patternType="solid">
          <fgColor indexed="64"/>
          <bgColor rgb="FFE2EFDA"/>
        </patternFill>
      </fill>
    </dxf>
    <dxf>
      <font>
        <color rgb="FF9C0006"/>
      </font>
      <fill>
        <patternFill patternType="solid">
          <fgColor indexed="64"/>
          <bgColor rgb="FFFFD9D9"/>
        </patternFill>
      </fill>
    </dxf>
    <dxf>
      <font>
        <color rgb="FF833C00"/>
      </font>
      <fill>
        <patternFill patternType="solid">
          <fgColor indexed="64"/>
          <bgColor rgb="FFFCE4D6"/>
        </patternFill>
      </fill>
    </dxf>
    <dxf>
      <font>
        <color rgb="FF7F6000"/>
      </font>
      <fill>
        <patternFill patternType="solid">
          <fgColor indexed="64"/>
          <bgColor rgb="FFFFF2CC"/>
        </patternFill>
      </fill>
    </dxf>
  </dxfs>
  <tableStyles count="0" defaultTableStyle="TableStyleMedium2" defaultPivotStyle="PivotStyleLight16"/>
  <colors>
    <mruColors>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23.xml"/><Relationship Id="rId2" Type="http://schemas.openxmlformats.org/officeDocument/2006/relationships/worksheet" Target="worksheets/sheet28.xml"/><Relationship Id="rId3" Type="http://schemas.openxmlformats.org/officeDocument/2006/relationships/worksheet" Target="worksheets/sheet29.xml"/><Relationship Id="rId90" Type="http://schemas.openxmlformats.org/officeDocument/2006/relationships/styles" Target="styles.xml"/></Relationships>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a:t>CURVA DE AVANCE (%)</a:t>
            </a:r>
          </a:p>
        </c:rich>
      </c:tx>
      <c:layout>
        <c:manualLayout>
          <c:xMode val="edge"/>
          <c:yMode val="edge"/>
          <c:x val="0.45366193520733528"/>
          <c:y val="2.3662848563084597E-2"/>
        </c:manualLayout>
      </c:layout>
      <c:overlay val="0"/>
      <c:spPr>
        <a:ln>
          <a:noFill/>
        </a:ln>
      </c:spPr>
    </c:title>
    <c:autoTitleDeleted val="0"/>
    <c:plotArea>
      <c:layout>
        <c:manualLayout>
          <c:layoutTarget val="inner"/>
          <c:xMode val="edge"/>
          <c:yMode val="edge"/>
          <c:x val="8.9679646771605837E-2"/>
          <c:y val="7.711594521588401E-2"/>
          <c:w val="0.84514560148411944"/>
          <c:h val="0.76826069374523087"/>
        </c:manualLayout>
      </c:layout>
      <c:barChart>
        <c:barDir val="col"/>
        <c:grouping val="clustered"/>
        <c:varyColors val="0"/>
        <c:dLbls>
          <c:showLegendKey val="0"/>
          <c:showVal val="0"/>
          <c:showCatName val="0"/>
          <c:showSerName val="0"/>
          <c:showPercent val="0"/>
          <c:showBubbleSize val="0"/>
        </c:dLbls>
        <c:gapWidth val="471"/>
        <c:overlap val="-70"/>
        <c:axId val="260486272"/>
        <c:axId val="260488192"/>
        <c:extLst>
          <c:ext xmlns:c15="http://schemas.microsoft.com/office/drawing/2012/chart" uri="{02D57815-91ED-43cb-92C2-25804820EDAC}">
            <c15:filteredBarSeries>
              <c15:ser>
                <c:idx val="5"/>
                <c:order val="2"/>
                <c:tx>
                  <c:v>Real semana</c:v>
                </c:tx>
                <c:spPr>
                  <a:solidFill>
                    <a:srgbClr val="BA8F00"/>
                  </a:solidFill>
                </c:spPr>
                <c:invertIfNegative val="0"/>
                <c:cat>
                  <c:strRef>
                    <c:extLst>
                      <c:ext uri="{02D57815-91ED-43cb-92C2-25804820EDAC}">
                        <c15:formulaRef>
                          <c15:sqref>'PHYSICAL % PROGRESS'!$O$7:$AB$7</c15:sqref>
                        </c15:formulaRef>
                      </c:ext>
                    </c:extLst>
                    <c:strCache>
                      <c:ptCount val="14"/>
                      <c:pt idx="0">
                        <c:v>S0</c:v>
                      </c:pt>
                      <c:pt idx="1">
                        <c:v>Sem 27 </c:v>
                      </c:pt>
                      <c:pt idx="2">
                        <c:v>Sem 28 </c:v>
                      </c:pt>
                      <c:pt idx="3">
                        <c:v>Sem 29 </c:v>
                      </c:pt>
                      <c:pt idx="4">
                        <c:v>Sem 30 </c:v>
                      </c:pt>
                      <c:pt idx="5">
                        <c:v>Sem 31 </c:v>
                      </c:pt>
                      <c:pt idx="6">
                        <c:v>Sem 32 </c:v>
                      </c:pt>
                      <c:pt idx="7">
                        <c:v>Sem 33 </c:v>
                      </c:pt>
                      <c:pt idx="8">
                        <c:v>Sem 34 </c:v>
                      </c:pt>
                      <c:pt idx="9">
                        <c:v>Sem 35 </c:v>
                      </c:pt>
                      <c:pt idx="10">
                        <c:v>Sem 36 </c:v>
                      </c:pt>
                      <c:pt idx="11">
                        <c:v>Sem 37 </c:v>
                      </c:pt>
                      <c:pt idx="12">
                        <c:v>Sem 38 </c:v>
                      </c:pt>
                      <c:pt idx="13">
                        <c:v>Sem 39 </c:v>
                      </c:pt>
                    </c:strCache>
                  </c:strRef>
                </c:cat>
                <c:val>
                  <c:numRef>
                    <c:extLst>
                      <c:ext uri="{02D57815-91ED-43cb-92C2-25804820EDAC}">
                        <c15:formulaRef>
                          <c15:sqref>'PHYSICAL % PROGRESS'!$P$221:$AG$221</c15:sqref>
                        </c15:formulaRef>
                      </c:ext>
                    </c:extLst>
                    <c:numCache>
                      <c:formatCode>0.0%</c:formatCode>
                      <c:ptCount val="18"/>
                      <c:pt idx="0">
                        <c:v>0</c:v>
                      </c:pt>
                      <c:pt idx="1">
                        <c:v>0</c:v>
                      </c:pt>
                      <c:pt idx="2">
                        <c:v>0</c:v>
                      </c:pt>
                      <c:pt idx="3">
                        <c:v>0</c:v>
                      </c:pt>
                      <c:pt idx="4">
                        <c:v>0</c:v>
                      </c:pt>
                      <c:pt idx="5">
                        <c:v>6.7675187134841617E-3</c:v>
                      </c:pt>
                      <c:pt idx="6">
                        <c:v>3.4389293462541798E-2</c:v>
                      </c:pt>
                      <c:pt idx="7">
                        <c:v>9.0620000000000006E-3</c:v>
                      </c:pt>
                      <c:pt idx="8">
                        <c:v>9.2551469851083965E-3</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39-B7F0-4990-BB87-840E784478FA}"/>
                  </c:ext>
                </c:extLst>
              </c15:ser>
            </c15:filteredBarSeries>
          </c:ext>
        </c:extLst>
      </c:barChart>
      <c:lineChart>
        <c:grouping val="standard"/>
        <c:varyColors val="0"/>
        <c:ser>
          <c:idx val="0"/>
          <c:order val="0"/>
          <c:tx>
            <c:v>Programado (LB0)</c:v>
          </c:tx>
          <c:marker>
            <c:symbol val="square"/>
            <c:size val="6"/>
            <c:spPr>
              <a:solidFill>
                <a:schemeClr val="accent6">
                  <a:lumMod val="75000"/>
                </a:schemeClr>
              </a:solidFill>
              <a:ln w="127000" cap="sq">
                <a:solidFill>
                  <a:schemeClr val="accent2">
                    <a:lumMod val="60000"/>
                    <a:lumOff val="40000"/>
                  </a:schemeClr>
                </a:solidFill>
                <a:miter lim="800000"/>
              </a:ln>
            </c:spPr>
          </c:marker>
          <c:dLbls>
            <c:spPr>
              <a:noFill/>
              <a:ln>
                <a:noFill/>
              </a:ln>
              <a:effectLst/>
            </c:spPr>
            <c:txPr>
              <a:bodyPr wrap="square" lIns="38100" tIns="19050" rIns="38100" bIns="19050" anchor="ctr">
                <a:spAutoFit/>
              </a:bodyPr>
              <a:lstStyle/>
              <a:p>
                <a:pPr>
                  <a:defRPr sz="1800">
                    <a:solidFill>
                      <a:srgbClr val="00B05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'PHYSICAL % PROGRESS'!$P$9:$AG$9</c:f>
              <c:numCache>
                <c:formatCode>dd\-mm\-yy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'PHYSICAL % PROGRESS'!$P$218:$AG$218</c:f>
              <c:numCache>
                <c:formatCode>0.0%</c:formatCode>
                <c:ptCount val="18"/>
                <c:pt idx="0">
                  <c:v>0</c:v>
                </c:pt>
                <c:pt idx="1">
                  <c:v>0</c:v>
                </c:pt>
                <c:pt idx="2">
                  <c:v>0</c:v>
                </c:pt>
                <c:pt idx="3">
                  <c:v>9.807998135484294E-3</c:v>
                </c:pt>
                <c:pt idx="4">
                  <c:v>1.6520592059409742E-2</c:v>
                </c:pt>
                <c:pt idx="5">
                  <c:v>3.8251172572961845E-2</c:v>
                </c:pt>
                <c:pt idx="6">
                  <c:v>7.4003237720717263E-2</c:v>
                </c:pt>
                <c:pt idx="7">
                  <c:v>0.14453843813018286</c:v>
                </c:pt>
                <c:pt idx="8">
                  <c:v>0.22900361135820557</c:v>
                </c:pt>
                <c:pt idx="9">
                  <c:v>0.31631464116256758</c:v>
                </c:pt>
                <c:pt idx="10">
                  <c:v>0.4220100429479629</c:v>
                </c:pt>
                <c:pt idx="11">
                  <c:v>0.54282236197916478</c:v>
                </c:pt>
                <c:pt idx="12">
                  <c:v>0.65336869259304209</c:v>
                </c:pt>
                <c:pt idx="13">
                  <c:v>0.76577996421323014</c:v>
                </c:pt>
                <c:pt idx="14">
                  <c:v>0.86162175922524087</c:v>
                </c:pt>
                <c:pt idx="15">
                  <c:v>0.93457766439359746</c:v>
                </c:pt>
                <c:pt idx="16">
                  <c:v>0.98774000233064463</c:v>
                </c:pt>
                <c:pt idx="17">
                  <c:v>1</c:v>
                </c:pt>
              </c:numCache>
            </c:numRef>
          </c:val>
          <c:smooth val="0"/>
          <c:extLst xmlns:c15="http://schemas.microsoft.com/office/drawing/2012/chart">
            <c:ext xmlns:c16="http://schemas.microsoft.com/office/drawing/2014/chart" uri="{C3380CC4-5D6E-409C-BE32-E72D297353CC}">
              <c16:uniqueId val="{0000002F-B7F0-4990-BB87-840E784478FA}"/>
            </c:ext>
          </c:extLst>
        </c:ser>
        <c:ser>
          <c:idx val="1"/>
          <c:order val="1"/>
          <c:tx>
            <c:strRef>
              <c:f>'PHYSICAL % PROGRESS'!$C$219</c:f>
              <c:strCache>
                <c:ptCount val="1"/>
                <c:pt idx="0">
                  <c:v>% ACTUAL ACUMULADO</c:v>
                </c:pt>
              </c:strCache>
            </c:strRef>
          </c:tx>
          <c:marker>
            <c:symbol val="triangle"/>
            <c:size val="10"/>
            <c:spPr>
              <a:solidFill>
                <a:srgbClr val="C00000"/>
              </a:solidFill>
              <a:ln>
                <a:solidFill>
                  <a:srgbClr val="C00000"/>
                </a:solidFill>
              </a:ln>
            </c:spPr>
          </c:marker>
          <c:dLbls>
            <c:spPr>
              <a:noFill/>
              <a:ln>
                <a:noFill/>
              </a:ln>
              <a:effectLst/>
            </c:spPr>
            <c:txPr>
              <a:bodyPr wrap="square" lIns="38100" tIns="19050" rIns="38100" bIns="19050" anchor="ctr">
                <a:spAutoFit/>
              </a:bodyPr>
              <a:lstStyle/>
              <a:p>
                <a:pPr>
                  <a:defRPr>
                    <a:solidFill>
                      <a:schemeClr val="tx2">
                        <a:lumMod val="60000"/>
                        <a:lumOff val="40000"/>
                      </a:schemeClr>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'PHYSICAL % PROGRESS'!$P$9:$AG$9</c:f>
              <c:numCache>
                <c:formatCode>dd\-mm\-yy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'PHYSICAL % PROGRESS'!$P$219:$W$219</c:f>
              <c:numCache>
                <c:formatCode>0.0%</c:formatCode>
                <c:ptCount val="8"/>
                <c:pt idx="0">
                  <c:v>0</c:v>
                </c:pt>
                <c:pt idx="1">
                  <c:v>0</c:v>
                </c:pt>
                <c:pt idx="2">
                  <c:v>0</c:v>
                </c:pt>
                <c:pt idx="3">
                  <c:v>0</c:v>
                </c:pt>
                <c:pt idx="4">
                  <c:v>0</c:v>
                </c:pt>
                <c:pt idx="5">
                  <c:v>6.7675187134841617E-3</c:v>
                </c:pt>
                <c:pt idx="6">
                  <c:v>4.1156812176025959E-2</c:v>
                </c:pt>
                <c:pt idx="7">
                  <c:v>5.0217999999999999E-2</c:v>
                </c:pt>
              </c:numCache>
            </c:numRef>
          </c:val>
          <c:smooth val="0"/>
          <c:extLst xmlns:c15="http://schemas.microsoft.com/office/drawing/2012/chart">
            <c:ext xmlns:c16="http://schemas.microsoft.com/office/drawing/2014/chart" uri="{C3380CC4-5D6E-409C-BE32-E72D297353CC}">
              <c16:uniqueId val="{00000038-B7F0-4990-BB87-840E784478FA}"/>
            </c:ext>
          </c:extLst>
        </c:ser>
        <c:dLbls>
          <c:showLegendKey val="0"/>
          <c:showVal val="0"/>
          <c:showCatName val="0"/>
          <c:showSerName val="0"/>
          <c:showPercent val="0"/>
          <c:showBubbleSize val="0"/>
        </c:dLbls>
        <c:marker val="1"/>
        <c:smooth val="0"/>
        <c:axId val="260486272"/>
        <c:axId val="260488192"/>
        <c:extLst>
          <c:ext xmlns:c15="http://schemas.microsoft.com/office/drawing/2012/chart" uri="{02D57815-91ED-43cb-92C2-25804820EDAC}">
            <c15:filteredLineSeries>
              <c15:ser>
                <c:idx val="2"/>
                <c:order val="3"/>
                <c:tx>
                  <c:v>Real acumulado</c:v>
                </c:tx>
                <c:spPr>
                  <a:ln w="34925"/>
                </c:spPr>
                <c:marker>
                  <c:symbol val="square"/>
                  <c:size val="8"/>
                </c:marker>
                <c:dLbls>
                  <c:spPr>
                    <a:noFill/>
                    <a:ln>
                      <a:noFill/>
                    </a:ln>
                    <a:effectLst/>
                  </c:spPr>
                  <c:txPr>
                    <a:bodyPr wrap="square" lIns="38100" tIns="19050" rIns="38100" bIns="19050" anchor="ctr">
                      <a:spAutoFit/>
                    </a:bodyPr>
                    <a:lstStyle/>
                    <a:p>
                      <a:pPr>
                        <a:defRPr sz="1600"/>
                      </a:pPr>
                      <a:endParaRPr lang="es-PE"/>
                    </a:p>
                  </c:txPr>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'PHYSICAL % PROGRESS'!$O$7:$AA$7</c15:sqref>
                        </c15:formulaRef>
                      </c:ext>
                    </c:extLst>
                    <c:strCache>
                      <c:ptCount val="13"/>
                      <c:pt idx="0">
                        <c:v>S0</c:v>
                      </c:pt>
                      <c:pt idx="1">
                        <c:v>Sem 27 </c:v>
                      </c:pt>
                      <c:pt idx="2">
                        <c:v>Sem 28 </c:v>
                      </c:pt>
                      <c:pt idx="3">
                        <c:v>Sem 29 </c:v>
                      </c:pt>
                      <c:pt idx="4">
                        <c:v>Sem 30 </c:v>
                      </c:pt>
                      <c:pt idx="5">
                        <c:v>Sem 31 </c:v>
                      </c:pt>
                      <c:pt idx="6">
                        <c:v>Sem 32 </c:v>
                      </c:pt>
                      <c:pt idx="7">
                        <c:v>Sem 33 </c:v>
                      </c:pt>
                      <c:pt idx="8">
                        <c:v>Sem 34 </c:v>
                      </c:pt>
                      <c:pt idx="9">
                        <c:v>Sem 35 </c:v>
                      </c:pt>
                      <c:pt idx="10">
                        <c:v>Sem 36 </c:v>
                      </c:pt>
                      <c:pt idx="11">
                        <c:v>Sem 37 </c:v>
                      </c:pt>
                      <c:pt idx="12">
                        <c:v>Sem 38 </c:v>
                      </c:pt>
                    </c:strCache>
                  </c:strRef>
                </c:cat>
                <c:val>
                  <c:numRef>
                    <c:extLst>
                      <c:ext uri="{02D57815-91ED-43cb-92C2-25804820EDAC}">
                        <c15:formulaRef>
                          <c15:sqref>'PHYSICAL % PROGRESS'!$P$219:$AG$219</c15:sqref>
                        </c15:formulaRef>
                      </c:ext>
                    </c:extLst>
                    <c:numCache>
                      <c:formatCode>0.0%</c:formatCode>
                      <c:ptCount val="18"/>
                      <c:pt idx="0">
                        <c:v>0</c:v>
                      </c:pt>
                      <c:pt idx="1">
                        <c:v>0</c:v>
                      </c:pt>
                      <c:pt idx="2">
                        <c:v>0</c:v>
                      </c:pt>
                      <c:pt idx="3">
                        <c:v>0</c:v>
                      </c:pt>
                      <c:pt idx="4">
                        <c:v>0</c:v>
                      </c:pt>
                      <c:pt idx="5">
                        <c:v>6.7675187134841617E-3</c:v>
                      </c:pt>
                      <c:pt idx="6">
                        <c:v>4.1156812176025959E-2</c:v>
                      </c:pt>
                      <c:pt idx="7">
                        <c:v>5.0217999999999999E-2</c:v>
                      </c:pt>
                      <c:pt idx="8">
                        <c:v>5.9473146985108395E-2</c:v>
                      </c:pt>
                      <c:pt idx="9">
                        <c:v>5.9473146985108395E-2</c:v>
                      </c:pt>
                      <c:pt idx="10">
                        <c:v>5.9473146985108395E-2</c:v>
                      </c:pt>
                      <c:pt idx="11">
                        <c:v>5.9473146985108395E-2</c:v>
                      </c:pt>
                      <c:pt idx="12">
                        <c:v>5.9473146985108395E-2</c:v>
                      </c:pt>
                      <c:pt idx="13">
                        <c:v>5.9473146985108395E-2</c:v>
                      </c:pt>
                      <c:pt idx="14">
                        <c:v>5.9473146985108395E-2</c:v>
                      </c:pt>
                      <c:pt idx="15">
                        <c:v>5.9473146985108395E-2</c:v>
                      </c:pt>
                      <c:pt idx="16">
                        <c:v>5.9473146985108395E-2</c:v>
                      </c:pt>
                      <c:pt idx="17">
                        <c:v>5.9473146985108395E-2</c:v>
                      </c:pt>
                    </c:numCache>
                  </c:numRef>
                </c:val>
                <c:smooth val="0"/>
                <c:extLst>
                  <c:ext xmlns:c16="http://schemas.microsoft.com/office/drawing/2014/chart" uri="{C3380CC4-5D6E-409C-BE32-E72D297353CC}">
                    <c16:uniqueId val="{0000003A-B7F0-4990-BB87-840E784478FA}"/>
                  </c:ext>
                </c:extLst>
              </c15:ser>
            </c15:filteredLineSeries>
          </c:ext>
        </c:extLst>
      </c:lineChart>
      <c:dateAx>
        <c:axId val="260486272"/>
        <c:scaling>
          <c:orientation val="minMax"/>
        </c:scaling>
        <c:delete val="1"/>
        <c:axPos val="b"/>
        <c:numFmt formatCode="General" sourceLinked="1"/>
        <c:majorTickMark val="out"/>
        <c:minorTickMark val="none"/>
        <c:tickLblPos val="nextTo"/>
        <c:crossAx val="260488192"/>
        <c:crosses val="autoZero"/>
        <c:auto val="1"/>
        <c:lblOffset val="100"/>
        <c:baseTimeUnit val="days"/>
      </c:dateAx>
      <c:valAx>
        <c:axId val="260488192"/>
        <c:scaling>
          <c:orientation val="minMax"/>
          <c:max val="1"/>
          <c:min val="0"/>
        </c:scaling>
        <c:delete val="0"/>
        <c:axPos val="l"/>
        <c:majorGridlines>
          <c:spPr>
            <a:ln>
              <a:solidFill>
                <a:srgbClr xmlns:mc="http://schemas.openxmlformats.org/markup-compatibility/2006" xmlns:a14="http://schemas.microsoft.com/office/drawing/2010/main" val="000000" mc:Ignorable="a14" a14:legacySpreadsheetColorIndex="64"/>
              </a:solidFill>
            </a:ln>
          </c:spPr>
        </c:majorGridlines>
        <c:numFmt formatCode="0%" sourceLinked="0"/>
        <c:majorTickMark val="out"/>
        <c:minorTickMark val="none"/>
        <c:tickLblPos val="nextTo"/>
        <c:crossAx val="260486272"/>
        <c:crosses val="autoZero"/>
        <c:crossBetween val="between"/>
      </c:valAx>
      <c:dTable>
        <c:showHorzBorder val="1"/>
        <c:showVertBorder val="1"/>
        <c:showOutline val="1"/>
        <c:showKeys val="1"/>
      </c:dTable>
      <c:spPr>
        <a:noFill/>
        <a:ln w="25400">
          <a:noFill/>
        </a:ln>
      </c:spPr>
    </c:plotArea>
    <c:plotVisOnly val="1"/>
    <c:dispBlanksAs val="gap"/>
    <c:showDLblsOverMax val="0"/>
  </c:chart>
  <c:spPr>
    <a:noFill/>
    <a:ln>
      <a:solidFill>
        <a:srgbClr xmlns:mc="http://schemas.openxmlformats.org/markup-compatibility/2006" xmlns:a14="http://schemas.microsoft.com/office/drawing/2010/main" val="000000" mc:Ignorable="a14" a14:legacySpreadsheetColorIndex="64"/>
      </a:solidFill>
    </a:ln>
  </c:spPr>
  <c:txPr>
    <a:bodyPr/>
    <a:lstStyle/>
    <a:p>
      <a:pPr>
        <a:defRPr sz="1400" baseline="0">
          <a:latin typeface="Calibri body"/>
          <a:cs typeface="Arial" panose="020B0604020202020204" pitchFamily="34" charset="0"/>
        </a:defRPr>
      </a:pPr>
      <a:endParaRPr lang="es-PE"/>
    </a:p>
  </c:txPr>
  <c:printSettings>
    <c:headerFooter/>
    <c:pageMargins b="0.75000000000000688" l="0.70000000000000062" r="0.70000000000000062" t="0.7500000000000068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HISTOGRAMAS MANO DE OBRA DIRECTA</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TOTAL PROG.</c:v>
          </c:tx>
          <c:invertIfNegative val="0"/>
          <c:cat>
            <c:numRef>
              <c:f>'STAFFING TABULATION CHART'!$D$11:$U$11</c:f>
              <c:numCache>
                <c:formatCode>d\-mmm\-yy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'STAFFING TABULATION CHART'!$D$74:$U$74</c:f>
              <c:numCache>
                <c:formatCode>#,##0</c:formatCode>
                <c:ptCount val="18"/>
                <c:pt idx="0">
                  <c:v>0</c:v>
                </c:pt>
                <c:pt idx="1">
                  <c:v>0</c:v>
                </c:pt>
                <c:pt idx="2">
                  <c:v>1</c:v>
                </c:pt>
                <c:pt idx="3">
                  <c:v>4</c:v>
                </c:pt>
                <c:pt idx="4">
                  <c:v>5</c:v>
                </c:pt>
                <c:pt idx="5">
                  <c:v>11</c:v>
                </c:pt>
                <c:pt idx="6">
                  <c:v>12</c:v>
                </c:pt>
                <c:pt idx="7">
                  <c:v>14</c:v>
                </c:pt>
                <c:pt idx="8">
                  <c:v>18</c:v>
                </c:pt>
                <c:pt idx="9">
                  <c:v>17</c:v>
                </c:pt>
                <c:pt idx="10">
                  <c:v>20</c:v>
                </c:pt>
                <c:pt idx="11">
                  <c:v>20</c:v>
                </c:pt>
                <c:pt idx="12">
                  <c:v>20</c:v>
                </c:pt>
                <c:pt idx="13">
                  <c:v>19</c:v>
                </c:pt>
                <c:pt idx="14">
                  <c:v>12</c:v>
                </c:pt>
                <c:pt idx="15">
                  <c:v>9</c:v>
                </c:pt>
                <c:pt idx="16">
                  <c:v>4</c:v>
                </c:pt>
                <c:pt idx="17">
                  <c:v>0</c:v>
                </c:pt>
              </c:numCache>
            </c:numRef>
          </c:val>
          <c:extLst>
            <c:ext xmlns:c16="http://schemas.microsoft.com/office/drawing/2014/chart" uri="{C3380CC4-5D6E-409C-BE32-E72D297353CC}">
              <c16:uniqueId val="{00000000-148E-4805-BEBB-F4705E84EE9B}"/>
            </c:ext>
          </c:extLst>
        </c:ser>
        <c:ser>
          <c:idx val="1"/>
          <c:order val="1"/>
          <c:tx>
            <c:v>TOTAL ACT.</c:v>
          </c:tx>
          <c:invertIfNegative val="0"/>
          <c:cat>
            <c:numRef>
              <c:f>'STAFFING TABULATION CHART'!$D$11:$U$11</c:f>
              <c:numCache>
                <c:formatCode>d\-mmm\-yy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'STAFFING TABULATION CHART'!$D$75:$U$75</c:f>
              <c:numCache>
                <c:formatCode>#,##0</c:formatCode>
                <c:ptCount val="18"/>
                <c:pt idx="0">
                  <c:v>0</c:v>
                </c:pt>
                <c:pt idx="1">
                  <c:v>0</c:v>
                </c:pt>
                <c:pt idx="2">
                  <c:v>0</c:v>
                </c:pt>
                <c:pt idx="3">
                  <c:v>1</c:v>
                </c:pt>
                <c:pt idx="4">
                  <c:v>2</c:v>
                </c:pt>
                <c:pt idx="5">
                  <c:v>2</c:v>
                </c:pt>
                <c:pt idx="6">
                  <c:v>2</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148E-4805-BEBB-F4705E84EE9B}"/>
            </c:ext>
          </c:extLst>
        </c:ser>
        <c:dLbls>
          <c:showLegendKey val="0"/>
          <c:showVal val="0"/>
          <c:showCatName val="0"/>
          <c:showSerName val="0"/>
          <c:showPercent val="0"/>
          <c:showBubbleSize val="0"/>
        </c:dLbls>
        <c:gapWidth val="75"/>
        <c:shape val="box"/>
        <c:axId val="604099072"/>
        <c:axId val="170377792"/>
        <c:axId val="0"/>
        <c:extLst/>
      </c:bar3DChart>
      <c:dateAx>
        <c:axId val="604099072"/>
        <c:scaling>
          <c:orientation val="minMax"/>
        </c:scaling>
        <c:delete val="1"/>
        <c:axPos val="b"/>
        <c:numFmt formatCode="General" sourceLinked="0"/>
        <c:majorTickMark val="none"/>
        <c:minorTickMark val="none"/>
        <c:tickLblPos val="nextTo"/>
        <c:crossAx val="170377792"/>
        <c:crosses val="autoZero"/>
        <c:auto val="1"/>
        <c:lblOffset val="100"/>
        <c:baseTimeUnit val="days"/>
      </c:dateAx>
      <c:valAx>
        <c:axId val="170377792"/>
        <c:scaling>
          <c:orientation val="minMax"/>
        </c:scaling>
        <c:delete val="0"/>
        <c:axPos val="l"/>
        <c:majorGridlines/>
        <c:numFmt formatCode="#,##0" sourceLinked="1"/>
        <c:majorTickMark val="none"/>
        <c:minorTickMark val="none"/>
        <c:tickLblPos val="nextTo"/>
        <c:spPr>
          <a:ln w="9525">
            <a:noFill/>
          </a:ln>
        </c:spPr>
        <c:crossAx val="604099072"/>
        <c:crosses val="autoZero"/>
        <c:crossBetween val="between"/>
      </c:valAx>
      <c:dTable>
        <c:showHorzBorder val="1"/>
        <c:showVertBorder val="1"/>
        <c:showOutline val="1"/>
        <c:showKeys val="1"/>
        <c:txPr>
          <a:bodyPr/>
          <a:lstStyle/>
          <a:p>
            <a:pPr rtl="0">
              <a:defRPr sz="1200"/>
            </a:pPr>
            <a:endParaRPr lang="es-PE"/>
          </a:p>
        </c:txPr>
      </c:dTable>
    </c:plotArea>
    <c:legend>
      <c:legendPos val="t"/>
      <c:layout>
        <c:manualLayout>
          <c:xMode val="edge"/>
          <c:yMode val="edge"/>
          <c:x val="0.25548864640701952"/>
          <c:y val="6.7504068996761576E-2"/>
          <c:w val="0.50448859326550588"/>
          <c:h val="4.8839874490326694E-2"/>
        </c:manualLayout>
      </c:layout>
      <c:overlay val="0"/>
    </c:legend>
    <c:plotVisOnly val="1"/>
    <c:dispBlanksAs val="gap"/>
    <c:showDLblsOverMax val="0"/>
  </c:chart>
  <c:txPr>
    <a:bodyPr/>
    <a:lstStyle/>
    <a:p>
      <a:pPr>
        <a:defRPr sz="1400"/>
      </a:pPr>
      <a:endParaRPr lang="es-PE"/>
    </a:p>
  </c:txPr>
  <c:printSettings>
    <c:headerFooter alignWithMargins="0"/>
    <c:pageMargins b="1" l="0.75000000000000033" r="0.75000000000000033"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HISTOGRAMAS EQUIPOS </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TOTAL PROG.</c:v>
          </c:tx>
          <c:invertIfNegative val="0"/>
          <c:cat>
            <c:numRef>
              <c:f>'CONSTRUCTION EQUIPMENT SCHE '!$D$11:$U$11</c:f>
              <c:numCache>
                <c:formatCode>d\-mmm\-yy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'CONSTRUCTION EQUIPMENT SCHE '!$D$64:$U$64</c:f>
              <c:numCache>
                <c:formatCode>#,##0</c:formatCode>
                <c:ptCount val="18"/>
                <c:pt idx="0">
                  <c:v>0</c:v>
                </c:pt>
                <c:pt idx="1">
                  <c:v>0</c:v>
                </c:pt>
                <c:pt idx="2">
                  <c:v>0</c:v>
                </c:pt>
                <c:pt idx="3">
                  <c:v>2</c:v>
                </c:pt>
                <c:pt idx="4">
                  <c:v>2</c:v>
                </c:pt>
                <c:pt idx="5">
                  <c:v>2</c:v>
                </c:pt>
                <c:pt idx="6">
                  <c:v>7</c:v>
                </c:pt>
                <c:pt idx="7">
                  <c:v>16</c:v>
                </c:pt>
                <c:pt idx="8">
                  <c:v>15</c:v>
                </c:pt>
                <c:pt idx="9">
                  <c:v>15</c:v>
                </c:pt>
                <c:pt idx="10">
                  <c:v>17</c:v>
                </c:pt>
                <c:pt idx="11">
                  <c:v>16</c:v>
                </c:pt>
                <c:pt idx="12">
                  <c:v>10</c:v>
                </c:pt>
                <c:pt idx="13">
                  <c:v>10</c:v>
                </c:pt>
                <c:pt idx="14">
                  <c:v>6</c:v>
                </c:pt>
                <c:pt idx="15">
                  <c:v>8</c:v>
                </c:pt>
                <c:pt idx="16">
                  <c:v>2</c:v>
                </c:pt>
                <c:pt idx="17">
                  <c:v>0</c:v>
                </c:pt>
              </c:numCache>
            </c:numRef>
          </c:val>
          <c:extLst>
            <c:ext xmlns:c16="http://schemas.microsoft.com/office/drawing/2014/chart" uri="{C3380CC4-5D6E-409C-BE32-E72D297353CC}">
              <c16:uniqueId val="{00000000-7D08-4953-B051-CBDEEB144C72}"/>
            </c:ext>
          </c:extLst>
        </c:ser>
        <c:ser>
          <c:idx val="1"/>
          <c:order val="1"/>
          <c:tx>
            <c:v>TOTAL ACT.</c:v>
          </c:tx>
          <c:invertIfNegative val="0"/>
          <c:cat>
            <c:numRef>
              <c:f>'CONSTRUCTION EQUIPMENT SCHE '!$D$11:$U$11</c:f>
              <c:numCache>
                <c:formatCode>d\-mmm\-yy</c:formatCode>
                <c:ptCount val="18"/>
                <c:pt idx="0">
                  <c:v>46205</c:v>
                </c:pt>
                <c:pt idx="1">
                  <c:v>46212</c:v>
                </c:pt>
                <c:pt idx="2">
                  <c:v>46219</c:v>
                </c:pt>
                <c:pt idx="3">
                  <c:v>46226</c:v>
                </c:pt>
                <c:pt idx="4">
                  <c:v>46233</c:v>
                </c:pt>
                <c:pt idx="5">
                  <c:v>46240</c:v>
                </c:pt>
                <c:pt idx="6">
                  <c:v>46247</c:v>
                </c:pt>
                <c:pt idx="7">
                  <c:v>46254</c:v>
                </c:pt>
                <c:pt idx="8">
                  <c:v>46261</c:v>
                </c:pt>
                <c:pt idx="9">
                  <c:v>46268</c:v>
                </c:pt>
                <c:pt idx="10">
                  <c:v>46275</c:v>
                </c:pt>
                <c:pt idx="11">
                  <c:v>46282</c:v>
                </c:pt>
                <c:pt idx="12">
                  <c:v>46289</c:v>
                </c:pt>
                <c:pt idx="13">
                  <c:v>46296</c:v>
                </c:pt>
                <c:pt idx="14">
                  <c:v>46303</c:v>
                </c:pt>
                <c:pt idx="15">
                  <c:v>46310</c:v>
                </c:pt>
                <c:pt idx="16">
                  <c:v>46317</c:v>
                </c:pt>
                <c:pt idx="17">
                  <c:v>46324</c:v>
                </c:pt>
              </c:numCache>
            </c:numRef>
          </c:cat>
          <c:val>
            <c:numRef>
              <c:f>'CONSTRUCTION EQUIPMENT SCHE '!$D$65:$U$65</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7D08-4953-B051-CBDEEB144C72}"/>
            </c:ext>
          </c:extLst>
        </c:ser>
        <c:dLbls>
          <c:showLegendKey val="0"/>
          <c:showVal val="0"/>
          <c:showCatName val="0"/>
          <c:showSerName val="0"/>
          <c:showPercent val="0"/>
          <c:showBubbleSize val="0"/>
        </c:dLbls>
        <c:gapWidth val="75"/>
        <c:shape val="box"/>
        <c:axId val="604099072"/>
        <c:axId val="170377792"/>
        <c:axId val="0"/>
        <c:extLst/>
      </c:bar3DChart>
      <c:dateAx>
        <c:axId val="604099072"/>
        <c:scaling>
          <c:orientation val="minMax"/>
        </c:scaling>
        <c:delete val="1"/>
        <c:axPos val="b"/>
        <c:numFmt formatCode="General" sourceLinked="0"/>
        <c:majorTickMark val="none"/>
        <c:minorTickMark val="none"/>
        <c:tickLblPos val="nextTo"/>
        <c:crossAx val="170377792"/>
        <c:crosses val="autoZero"/>
        <c:auto val="1"/>
        <c:lblOffset val="100"/>
        <c:baseTimeUnit val="days"/>
      </c:dateAx>
      <c:valAx>
        <c:axId val="170377792"/>
        <c:scaling>
          <c:orientation val="minMax"/>
        </c:scaling>
        <c:delete val="0"/>
        <c:axPos val="l"/>
        <c:majorGridlines/>
        <c:numFmt formatCode="#,##0" sourceLinked="1"/>
        <c:majorTickMark val="none"/>
        <c:minorTickMark val="none"/>
        <c:tickLblPos val="nextTo"/>
        <c:spPr>
          <a:ln w="9525">
            <a:noFill/>
          </a:ln>
        </c:spPr>
        <c:crossAx val="604099072"/>
        <c:crosses val="autoZero"/>
        <c:crossBetween val="between"/>
      </c:valAx>
      <c:dTable>
        <c:showHorzBorder val="1"/>
        <c:showVertBorder val="1"/>
        <c:showOutline val="1"/>
        <c:showKeys val="1"/>
        <c:txPr>
          <a:bodyPr/>
          <a:lstStyle/>
          <a:p>
            <a:pPr rtl="0">
              <a:defRPr sz="1200"/>
            </a:pPr>
            <a:endParaRPr lang="es-PE"/>
          </a:p>
        </c:txPr>
      </c:dTable>
    </c:plotArea>
    <c:legend>
      <c:legendPos val="t"/>
      <c:layout>
        <c:manualLayout>
          <c:xMode val="edge"/>
          <c:yMode val="edge"/>
          <c:x val="0.25517316822171582"/>
          <c:y val="6.752824414135232E-2"/>
          <c:w val="0.51262282103451828"/>
          <c:h val="4.9024556659153083E-2"/>
        </c:manualLayout>
      </c:layout>
      <c:overlay val="0"/>
    </c:legend>
    <c:plotVisOnly val="1"/>
    <c:dispBlanksAs val="gap"/>
    <c:showDLblsOverMax val="0"/>
  </c:chart>
  <c:txPr>
    <a:bodyPr/>
    <a:lstStyle/>
    <a:p>
      <a:pPr>
        <a:defRPr sz="1400"/>
      </a:pPr>
      <a:endParaRPr lang="es-PE"/>
    </a:p>
  </c:txPr>
  <c:printSettings>
    <c:headerFooter alignWithMargins="0"/>
    <c:pageMargins b="1" l="0.75000000000000033" r="0.75000000000000033" t="1" header="0.5" footer="0.5"/>
    <c:pageSetup orientation="portrait"/>
  </c:printSettings>
</c:chartSpace>
</file>

<file path=xl/drawings/_rels/drawing9.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3.png"/><Relationship Id="rId4" Type="http://schemas.openxmlformats.org/officeDocument/2006/relationships/image" Target="../media/image12.png"/></Relationships>
</file>

<file path=xl/drawings/drawing9.xml><?xml version="1.0" encoding="utf-8"?>
<xdr:wsDr xmlns:xdr="http://schemas.openxmlformats.org/drawingml/2006/spreadsheetDrawing" xmlns:a="http://schemas.openxmlformats.org/drawingml/2006/main">
  <xdr:twoCellAnchor>
    <xdr:from>
      <xdr:col>0</xdr:col>
      <xdr:colOff>476254</xdr:colOff>
      <xdr:row>12</xdr:row>
      <xdr:rowOff>121228</xdr:rowOff>
    </xdr:from>
    <xdr:to>
      <xdr:col>26</xdr:col>
      <xdr:colOff>103909</xdr:colOff>
      <xdr:row>55</xdr:row>
      <xdr:rowOff>138547</xdr:rowOff>
    </xdr:to>
    <xdr:graphicFrame macro="">
      <xdr:nvGraphicFramePr>
        <xdr:cNvPr id="2" name="Chart 21">
          <a:extLst>
            <a:ext uri="{FF2B5EF4-FFF2-40B4-BE49-F238E27FC236}">
              <a16:creationId xmlns:a16="http://schemas.microsoft.com/office/drawing/2014/main" id="{E025E504-42B9-47AA-885E-245C0BD84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79887</xdr:colOff>
      <xdr:row>56</xdr:row>
      <xdr:rowOff>69276</xdr:rowOff>
    </xdr:from>
    <xdr:to>
      <xdr:col>13</xdr:col>
      <xdr:colOff>207818</xdr:colOff>
      <xdr:row>80</xdr:row>
      <xdr:rowOff>69276</xdr:rowOff>
    </xdr:to>
    <xdr:graphicFrame macro="">
      <xdr:nvGraphicFramePr>
        <xdr:cNvPr id="3" name="6 Gráfico">
          <a:extLst>
            <a:ext uri="{FF2B5EF4-FFF2-40B4-BE49-F238E27FC236}">
              <a16:creationId xmlns:a16="http://schemas.microsoft.com/office/drawing/2014/main" id="{98E94FB3-8BCD-46F0-ACEB-F338B46B6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406459</xdr:colOff>
      <xdr:row>56</xdr:row>
      <xdr:rowOff>69276</xdr:rowOff>
    </xdr:from>
    <xdr:to>
      <xdr:col>26</xdr:col>
      <xdr:colOff>484909</xdr:colOff>
      <xdr:row>80</xdr:row>
      <xdr:rowOff>86594</xdr:rowOff>
    </xdr:to>
    <xdr:graphicFrame macro="">
      <xdr:nvGraphicFramePr>
        <xdr:cNvPr id="4" name="6 Gráfico">
          <a:extLst>
            <a:ext uri="{FF2B5EF4-FFF2-40B4-BE49-F238E27FC236}">
              <a16:creationId xmlns:a16="http://schemas.microsoft.com/office/drawing/2014/main" id="{5633471B-0E0D-488C-A9E1-B2CBA883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286614</xdr:colOff>
      <xdr:row>2</xdr:row>
      <xdr:rowOff>173181</xdr:rowOff>
    </xdr:from>
    <xdr:to>
      <xdr:col>33</xdr:col>
      <xdr:colOff>551214</xdr:colOff>
      <xdr:row>11</xdr:row>
      <xdr:rowOff>13881</xdr:rowOff>
    </xdr:to>
    <xdr:sp macro="" textlink="">
      <xdr:nvSpPr>
        <xdr:cNvPr id="5" name="WordArt 14">
          <a:extLst>
            <a:ext uri="{FF2B5EF4-FFF2-40B4-BE49-F238E27FC236}">
              <a16:creationId xmlns:a16="http://schemas.microsoft.com/office/drawing/2014/main" id="{F53EE4F7-B1A6-43E4-9D36-385772E31581}"/>
            </a:ext>
          </a:extLst>
        </xdr:cNvPr>
        <xdr:cNvSpPr>
          <a:spLocks noChangeArrowheads="1" noChangeShapeType="1" noTextEdit="1"/>
        </xdr:cNvSpPr>
      </xdr:nvSpPr>
      <xdr:spPr bwMode="auto">
        <a:xfrm>
          <a:off x="18860364" y="554181"/>
          <a:ext cx="4065075" cy="1555200"/>
        </a:xfrm>
        <a:prstGeom prst="rect">
          <a:avLst/>
        </a:prstGeom>
      </xdr:spPr>
      <xdr:txBody>
        <a:bodyPr wrap="none" fromWordArt="1">
          <a:prstTxWarp prst="textPlain">
            <a:avLst>
              <a:gd name="adj" fmla="val 48611"/>
            </a:avLst>
          </a:prstTxWarp>
        </a:bodyPr>
        <a:lstStyle/>
        <a:p>
          <a:pPr algn="ctr" rtl="0"/>
          <a:r>
            <a:rPr lang="es-ES_tradnl" sz="4800"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PANEL </a:t>
          </a:r>
          <a:r>
            <a:rPr lang="es-ES_tradnl" sz="4800" i="1" kern="10" spc="0" baseline="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 </a:t>
          </a:r>
        </a:p>
        <a:p>
          <a:pPr algn="ctr" rtl="0"/>
          <a:r>
            <a:rPr lang="es-ES_tradnl" sz="4800"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DE </a:t>
          </a:r>
          <a:r>
            <a:rPr lang="es-ES_tradnl" sz="4800" i="1" kern="10" spc="0" baseline="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 </a:t>
          </a:r>
        </a:p>
        <a:p>
          <a:pPr algn="ctr" rtl="0"/>
          <a:r>
            <a:rPr lang="es-ES_tradnl" sz="4800"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Arial Black"/>
            </a:rPr>
            <a:t>CONTROL</a:t>
          </a:r>
        </a:p>
      </xdr:txBody>
    </xdr:sp>
    <xdr:clientData/>
  </xdr:twoCellAnchor>
  <xdr:twoCellAnchor editAs="oneCell">
    <xdr:from>
      <xdr:col>35</xdr:col>
      <xdr:colOff>500682</xdr:colOff>
      <xdr:row>2</xdr:row>
      <xdr:rowOff>5194</xdr:rowOff>
    </xdr:from>
    <xdr:to>
      <xdr:col>39</xdr:col>
      <xdr:colOff>600755</xdr:colOff>
      <xdr:row>9</xdr:row>
      <xdr:rowOff>153457</xdr:rowOff>
    </xdr:to>
    <xdr:pic>
      <xdr:nvPicPr>
        <xdr:cNvPr id="6" name="Imagen 5">
          <a:extLst>
            <a:ext uri="{FF2B5EF4-FFF2-40B4-BE49-F238E27FC236}">
              <a16:creationId xmlns:a16="http://schemas.microsoft.com/office/drawing/2014/main" id="{7AE287F9-4E2D-4780-A744-C7328A38AF2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24437007" y="386194"/>
          <a:ext cx="3224273" cy="1481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317500</xdr:colOff>
      <xdr:row>6</xdr:row>
      <xdr:rowOff>138545</xdr:rowOff>
    </xdr:from>
    <xdr:to>
      <xdr:col>17</xdr:col>
      <xdr:colOff>342406</xdr:colOff>
      <xdr:row>8</xdr:row>
      <xdr:rowOff>179985</xdr:rowOff>
    </xdr:to>
    <xdr:sp macro="" textlink="">
      <xdr:nvSpPr>
        <xdr:cNvPr id="7" name="Text Box 13">
          <a:extLst>
            <a:ext uri="{FF2B5EF4-FFF2-40B4-BE49-F238E27FC236}">
              <a16:creationId xmlns:a16="http://schemas.microsoft.com/office/drawing/2014/main" id="{090EAF56-42E8-4F64-9F04-CE32BD2B6C67}"/>
            </a:ext>
          </a:extLst>
        </xdr:cNvPr>
        <xdr:cNvSpPr txBox="1">
          <a:spLocks noChangeArrowheads="1"/>
        </xdr:cNvSpPr>
      </xdr:nvSpPr>
      <xdr:spPr bwMode="auto">
        <a:xfrm>
          <a:off x="7575550" y="1281545"/>
          <a:ext cx="4863606" cy="422440"/>
        </a:xfrm>
        <a:prstGeom prst="rect">
          <a:avLst/>
        </a:prstGeom>
        <a:solidFill>
          <a:srgbClr val="F4F4F4"/>
        </a:solidFill>
        <a:ln w="9525">
          <a:solidFill>
            <a:srgbClr val="000000"/>
          </a:solidFill>
          <a:miter lim="800000"/>
          <a:headEnd/>
          <a:tailEnd/>
        </a:ln>
      </xdr:spPr>
      <xdr:txBody>
        <a:bodyPr vertOverflow="clip" wrap="square" lIns="36576" tIns="32004" rIns="36576" bIns="0" anchor="t" upright="1"/>
        <a:lstStyle/>
        <a:p>
          <a:pPr algn="ctr" rtl="0">
            <a:defRPr sz="1000"/>
          </a:pPr>
          <a:r>
            <a:rPr lang="es-ES_tradnl" sz="2000" b="0" i="0" strike="noStrike">
              <a:solidFill>
                <a:srgbClr val="000000"/>
              </a:solidFill>
              <a:latin typeface="Arial"/>
              <a:cs typeface="Arial"/>
            </a:rPr>
            <a:t>CURVA DE CONSTRUCCION</a:t>
          </a:r>
        </a:p>
      </xdr:txBody>
    </xdr:sp>
    <xdr:clientData/>
  </xdr:twoCellAnchor>
  <xdr:twoCellAnchor editAs="oneCell">
    <xdr:from>
      <xdr:col>33</xdr:col>
      <xdr:colOff>691283</xdr:colOff>
      <xdr:row>80</xdr:row>
      <xdr:rowOff>39832</xdr:rowOff>
    </xdr:from>
    <xdr:to>
      <xdr:col>39</xdr:col>
      <xdr:colOff>67750</xdr:colOff>
      <xdr:row>86</xdr:row>
      <xdr:rowOff>204965</xdr:rowOff>
    </xdr:to>
    <xdr:pic>
      <xdr:nvPicPr>
        <xdr:cNvPr id="8" name="Imagen 19">
          <a:extLst>
            <a:ext uri="{FF2B5EF4-FFF2-40B4-BE49-F238E27FC236}">
              <a16:creationId xmlns:a16="http://schemas.microsoft.com/office/drawing/2014/main" id="{8DBB7378-DC07-454F-8774-16FDC2E74F53}"/>
            </a:ext>
          </a:extLst>
        </xdr:cNvPr>
        <xdr:cNvPicPr>
          <a:picLocks noChangeAspect="1"/>
        </xdr:cNvPicPr>
      </xdr:nvPicPr>
      <xdr:blipFill>
        <a:blip xmlns:r="http://schemas.openxmlformats.org/officeDocument/2006/relationships" r:embed="rId5"/>
        <a:stretch>
          <a:fillRect/>
        </a:stretch>
      </xdr:blipFill>
      <xdr:spPr>
        <a:xfrm>
          <a:off x="23065508" y="17061007"/>
          <a:ext cx="4062767" cy="1403382"/>
        </a:xfrm>
        <a:prstGeom prst="rect">
          <a:avLst/>
        </a:prstGeom>
      </xdr:spPr>
    </xdr:pic>
    <xdr:clientData/>
  </xdr:twoCellAnchor>
</xdr:wsDr>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s>
</file>

<file path=xl/worksheets/_rels/sheet29.xml.rels><?xml version="1.0" encoding="UTF-8" standalone="yes"?>
<Relationships xmlns="http://schemas.openxmlformats.org/package/2006/relationships"></Relationships>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D4AD3-302B-44CF-9323-8A1F05A77011}">
  <sheetPr>
    <tabColor rgb="FF00B050"/>
    <pageSetUpPr fitToPage="1"/>
  </sheetPr>
  <dimension ref="A1:AP104"/>
  <sheetViews>
    <sheetView tabSelected="1" topLeftCell="B10" zoomScale="55" zoomScaleNormal="55" workbookViewId="0">
      <selection activeCell="AG15" sqref="AG15"/>
    </sheetView>
  </sheetViews>
  <sheetFormatPr baseColWidth="10" defaultColWidth="11.42578125" defaultRowHeight="15"/>
  <cols>
    <col min="1" max="1" width="11.42578125" style="1177"/>
    <col min="2" max="6" width="9.7109375" style="1177" customWidth="1"/>
    <col min="7" max="7" width="18.28515625" style="1177" customWidth="1"/>
    <col min="8" max="8" width="11.140625" style="1177" customWidth="1"/>
    <col min="9" max="10" width="9.7109375" style="1177" customWidth="1"/>
    <col min="11" max="11" width="13.28515625" style="1177" customWidth="1"/>
    <col min="12" max="12" width="10.7109375" style="1177" customWidth="1"/>
    <col min="13" max="27" width="9.7109375" style="1177" customWidth="1"/>
    <col min="28" max="28" width="4.28515625" style="1177" customWidth="1"/>
    <col min="29" max="29" width="8.7109375" style="1177" customWidth="1"/>
    <col min="30" max="30" width="11.85546875" style="1177" customWidth="1"/>
    <col min="31" max="31" width="8.7109375" style="1177" customWidth="1"/>
    <col min="32" max="39" width="11.7109375" style="1177" customWidth="1"/>
    <col min="40" max="16384" width="11.42578125" style="1177"/>
  </cols>
  <sheetData>
    <row r="1" spans="1:40">
      <c r="A1" s="1214"/>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row>
    <row r="2" spans="1:40">
      <c r="A2" s="1215"/>
      <c r="B2" s="1215"/>
      <c r="C2" s="1215"/>
      <c r="D2" s="1215"/>
      <c r="E2" s="1215"/>
      <c r="F2" s="1215"/>
      <c r="G2" s="1215"/>
      <c r="H2" s="1215"/>
      <c r="I2" s="1215"/>
      <c r="J2" s="1215"/>
      <c r="K2" s="1215"/>
      <c r="L2" s="1215"/>
      <c r="M2" s="1215"/>
      <c r="N2" s="1215"/>
      <c r="O2" s="1215"/>
      <c r="P2" s="1215"/>
      <c r="Q2" s="1215"/>
      <c r="R2" s="1215"/>
      <c r="S2" s="1215"/>
      <c r="T2" s="1215"/>
      <c r="U2" s="1215"/>
      <c r="V2" s="1215"/>
      <c r="W2" s="1215"/>
      <c r="X2" s="1215"/>
      <c r="Y2" s="1215"/>
      <c r="Z2" s="1215"/>
      <c r="AA2" s="1215"/>
      <c r="AB2" s="1215"/>
      <c r="AC2" s="1215"/>
      <c r="AD2" s="1215"/>
      <c r="AE2" s="1215"/>
      <c r="AF2" s="1215"/>
      <c r="AG2" s="1215"/>
      <c r="AH2" s="1215"/>
      <c r="AI2" s="1215"/>
      <c r="AJ2" s="1215"/>
      <c r="AK2" s="1215"/>
      <c r="AL2" s="1215"/>
      <c r="AM2" s="1215"/>
      <c r="AN2" s="1215"/>
    </row>
    <row r="3" spans="1:40">
      <c r="A3" s="1215"/>
      <c r="B3" s="1214"/>
      <c r="C3" s="1214"/>
      <c r="D3" s="1214"/>
      <c r="E3" s="1214"/>
      <c r="F3" s="1214"/>
      <c r="G3" s="1214"/>
      <c r="H3" s="1214"/>
      <c r="I3" s="1214"/>
      <c r="J3" s="1214"/>
      <c r="K3" s="1214"/>
      <c r="L3" s="1214"/>
      <c r="M3" s="1214"/>
      <c r="N3" s="1214"/>
      <c r="O3" s="1214"/>
      <c r="P3" s="1214"/>
      <c r="Q3" s="1214"/>
      <c r="R3" s="1214"/>
      <c r="S3" s="1214"/>
      <c r="T3" s="1214"/>
      <c r="U3" s="1214"/>
      <c r="V3" s="1214"/>
      <c r="W3" s="1214"/>
      <c r="X3" s="1214"/>
      <c r="Y3" s="1214"/>
      <c r="Z3" s="1214"/>
      <c r="AA3" s="1214"/>
      <c r="AB3" s="1214"/>
      <c r="AC3" s="1214"/>
      <c r="AD3" s="1214"/>
      <c r="AE3" s="1214"/>
      <c r="AF3" s="1214"/>
      <c r="AG3" s="1214"/>
      <c r="AH3" s="1214"/>
      <c r="AI3" s="1214"/>
      <c r="AJ3" s="1214"/>
      <c r="AK3" s="1214"/>
      <c r="AL3" s="1214"/>
      <c r="AM3" s="1214"/>
      <c r="AN3" s="1215"/>
    </row>
    <row r="4" spans="1:40">
      <c r="A4" s="1215"/>
      <c r="B4" s="1214"/>
      <c r="C4" s="1214"/>
      <c r="D4" s="1214"/>
      <c r="E4" s="1214"/>
      <c r="F4" s="1214"/>
      <c r="G4" s="1214"/>
      <c r="H4" s="1214"/>
      <c r="I4" s="1214"/>
      <c r="J4" s="1214"/>
      <c r="K4" s="1214"/>
      <c r="L4" s="1214"/>
      <c r="M4" s="1214"/>
      <c r="N4" s="1214"/>
      <c r="O4" s="1214"/>
      <c r="P4" s="1214"/>
      <c r="Q4" s="1214"/>
      <c r="R4" s="1214"/>
      <c r="S4" s="1214"/>
      <c r="T4" s="1214"/>
      <c r="U4" s="1214"/>
      <c r="V4" s="1214"/>
      <c r="W4" s="1214"/>
      <c r="X4" s="1214"/>
      <c r="Y4" s="1214"/>
      <c r="Z4" s="1214"/>
      <c r="AA4" s="1214"/>
      <c r="AB4" s="1214"/>
      <c r="AC4" s="1214"/>
      <c r="AD4" s="1214"/>
      <c r="AE4" s="1214"/>
      <c r="AF4" s="1214"/>
      <c r="AG4" s="1214"/>
      <c r="AH4" s="1214"/>
      <c r="AI4" s="1214"/>
      <c r="AJ4" s="1214"/>
      <c r="AK4" s="1214"/>
      <c r="AL4" s="1214"/>
      <c r="AM4" s="1216"/>
      <c r="AN4" s="1215"/>
    </row>
    <row r="5" spans="1:40">
      <c r="A5" s="1215"/>
      <c r="B5" s="1214"/>
      <c r="C5" s="1214"/>
      <c r="D5" s="1214"/>
      <c r="E5" s="1214"/>
      <c r="F5" s="1214"/>
      <c r="G5" s="1214"/>
      <c r="H5" s="1214"/>
      <c r="I5" s="1214"/>
      <c r="J5" s="1214"/>
      <c r="K5" s="1214"/>
      <c r="L5" s="1214"/>
      <c r="M5" s="1214"/>
      <c r="N5" s="1214"/>
      <c r="O5" s="1214"/>
      <c r="P5" s="1214"/>
      <c r="Q5" s="1214"/>
      <c r="R5" s="1214"/>
      <c r="S5" s="1214"/>
      <c r="T5" s="1214"/>
      <c r="U5" s="1214"/>
      <c r="V5" s="1214"/>
      <c r="W5" s="1214"/>
      <c r="X5" s="1214"/>
      <c r="Y5" s="1214"/>
      <c r="Z5" s="1214"/>
      <c r="AA5" s="1214"/>
      <c r="AB5" s="1214"/>
      <c r="AC5" s="1214"/>
      <c r="AD5" s="1214"/>
      <c r="AE5" s="1214"/>
      <c r="AF5" s="1214"/>
      <c r="AG5" s="1214"/>
      <c r="AH5" s="1214"/>
      <c r="AI5" s="1214"/>
      <c r="AJ5" s="1214"/>
      <c r="AK5" s="1214"/>
      <c r="AL5" s="1214"/>
      <c r="AM5" s="1216"/>
      <c r="AN5" s="1215"/>
    </row>
    <row r="6" spans="1:40">
      <c r="A6" s="1215"/>
      <c r="B6" s="1214"/>
      <c r="C6" s="1214"/>
      <c r="D6" s="1214"/>
      <c r="E6" s="1214"/>
      <c r="F6" s="1214"/>
      <c r="G6" s="1217"/>
      <c r="H6" s="1214"/>
      <c r="I6" s="1214"/>
      <c r="J6" s="1214"/>
      <c r="K6" s="1214"/>
      <c r="L6" s="1214"/>
      <c r="M6" s="1214"/>
      <c r="N6" s="1214"/>
      <c r="O6" s="1214"/>
      <c r="P6" s="1214"/>
      <c r="Q6" s="1214"/>
      <c r="R6" s="1214"/>
      <c r="S6" s="1214"/>
      <c r="T6" s="1214"/>
      <c r="U6" s="1214"/>
      <c r="V6" s="1214"/>
      <c r="W6" s="1214"/>
      <c r="X6" s="1214"/>
      <c r="Y6" s="1214"/>
      <c r="Z6" s="1214"/>
      <c r="AA6" s="1214"/>
      <c r="AB6" s="1214"/>
      <c r="AC6" s="1214"/>
      <c r="AD6" s="1214"/>
      <c r="AE6" s="1214"/>
      <c r="AF6" s="1214"/>
      <c r="AG6" s="1214"/>
      <c r="AH6" s="1214"/>
      <c r="AI6" s="1214"/>
      <c r="AJ6" s="1214"/>
      <c r="AK6" s="1214"/>
      <c r="AL6" s="1214"/>
      <c r="AM6" s="1216"/>
      <c r="AN6" s="1215"/>
    </row>
    <row r="7" spans="1:40">
      <c r="A7" s="1215"/>
      <c r="B7" s="1214"/>
      <c r="C7" s="1214"/>
      <c r="D7" s="1214"/>
      <c r="E7" s="1214"/>
      <c r="F7" s="1214"/>
      <c r="G7" s="1214"/>
      <c r="H7" s="1214"/>
      <c r="I7" s="1214"/>
      <c r="J7" s="1214"/>
      <c r="K7" s="1214"/>
      <c r="L7" s="1214"/>
      <c r="M7" s="1214"/>
      <c r="N7" s="1214"/>
      <c r="O7" s="1214"/>
      <c r="P7" s="1214"/>
      <c r="Q7" s="1214"/>
      <c r="R7" s="1214"/>
      <c r="S7" s="1214"/>
      <c r="T7" s="1214"/>
      <c r="U7" s="1214"/>
      <c r="V7" s="1214"/>
      <c r="W7" s="1214"/>
      <c r="X7" s="1214"/>
      <c r="Y7" s="1214"/>
      <c r="Z7" s="1214"/>
      <c r="AA7" s="1214"/>
      <c r="AB7" s="1214"/>
      <c r="AC7" s="1214"/>
      <c r="AD7" s="1214"/>
      <c r="AE7" s="1214"/>
      <c r="AF7" s="1214"/>
      <c r="AG7" s="1214"/>
      <c r="AH7" s="1214"/>
      <c r="AI7" s="1214"/>
      <c r="AJ7" s="1214"/>
      <c r="AK7" s="1214"/>
      <c r="AL7" s="1214"/>
      <c r="AM7" s="1214"/>
      <c r="AN7" s="1215"/>
    </row>
    <row r="8" spans="1:40">
      <c r="A8" s="1215"/>
      <c r="B8" s="1214"/>
      <c r="C8" s="1214"/>
      <c r="D8" s="1214"/>
      <c r="E8" s="1214"/>
      <c r="F8" s="1214"/>
      <c r="G8" s="1214"/>
      <c r="H8" s="1214"/>
      <c r="I8" s="1214"/>
      <c r="J8" s="1214"/>
      <c r="K8" s="1214"/>
      <c r="L8" s="1214"/>
      <c r="M8" s="1214"/>
      <c r="N8" s="1214"/>
      <c r="O8" s="1214"/>
      <c r="P8" s="1214"/>
      <c r="Q8" s="1214"/>
      <c r="R8" s="1214"/>
      <c r="S8" s="1214"/>
      <c r="T8" s="1214"/>
      <c r="U8" s="1214"/>
      <c r="V8" s="1214"/>
      <c r="W8" s="1214"/>
      <c r="X8" s="1214"/>
      <c r="Y8" s="1214"/>
      <c r="Z8" s="1214"/>
      <c r="AA8" s="1214"/>
      <c r="AB8" s="1214"/>
      <c r="AC8" s="1214"/>
      <c r="AD8" s="1214"/>
      <c r="AE8" s="1214"/>
      <c r="AF8" s="1214"/>
      <c r="AG8" s="1214"/>
      <c r="AH8" s="1214"/>
      <c r="AI8" s="1214"/>
      <c r="AJ8" s="1214"/>
      <c r="AK8" s="1214"/>
      <c r="AL8" s="1214"/>
      <c r="AM8" s="1214"/>
      <c r="AN8" s="1215"/>
    </row>
    <row r="9" spans="1:40">
      <c r="A9" s="1215"/>
      <c r="B9" s="1214"/>
      <c r="C9" s="1214"/>
      <c r="D9" s="1214"/>
      <c r="E9" s="1214"/>
      <c r="F9" s="1214"/>
      <c r="G9" s="1214"/>
      <c r="H9" s="1214"/>
      <c r="I9" s="1214"/>
      <c r="J9" s="1214"/>
      <c r="K9" s="1214"/>
      <c r="L9" s="1214"/>
      <c r="M9" s="1214"/>
      <c r="N9" s="1214"/>
      <c r="O9" s="1214"/>
      <c r="P9" s="1214"/>
      <c r="Q9" s="1214"/>
      <c r="R9" s="1214"/>
      <c r="S9" s="1214"/>
      <c r="T9" s="1214"/>
      <c r="U9" s="1214"/>
      <c r="V9" s="1214"/>
      <c r="W9" s="1214"/>
      <c r="X9" s="1214"/>
      <c r="Y9" s="1214"/>
      <c r="Z9" s="1214"/>
      <c r="AA9" s="1214"/>
      <c r="AB9" s="1214"/>
      <c r="AC9" s="1214"/>
      <c r="AD9" s="1214"/>
      <c r="AE9" s="1214"/>
      <c r="AF9" s="1214"/>
      <c r="AG9" s="1214"/>
      <c r="AH9" s="1214"/>
      <c r="AI9" s="1214"/>
      <c r="AJ9" s="1214"/>
      <c r="AK9" s="1214"/>
      <c r="AL9" s="1214"/>
      <c r="AM9" s="1214"/>
      <c r="AN9" s="1215"/>
    </row>
    <row r="10" spans="1:40">
      <c r="A10" s="1215"/>
      <c r="B10" s="1214"/>
      <c r="C10" s="1214"/>
      <c r="D10" s="1214"/>
      <c r="E10" s="1214"/>
      <c r="F10" s="1214"/>
      <c r="G10" s="1214"/>
      <c r="H10" s="1214"/>
      <c r="I10" s="1214"/>
      <c r="J10" s="1214"/>
      <c r="K10" s="1214"/>
      <c r="L10" s="1214"/>
      <c r="M10" s="1214"/>
      <c r="N10" s="1214"/>
      <c r="O10" s="1214"/>
      <c r="P10" s="1214"/>
      <c r="Q10" s="1214"/>
      <c r="R10" s="1214"/>
      <c r="S10" s="1214"/>
      <c r="T10" s="1214"/>
      <c r="U10" s="1214"/>
      <c r="V10" s="1214"/>
      <c r="W10" s="1214"/>
      <c r="X10" s="1214"/>
      <c r="Y10" s="1214"/>
      <c r="Z10" s="1214"/>
      <c r="AA10" s="1214"/>
      <c r="AB10" s="1214"/>
      <c r="AC10" s="1214"/>
      <c r="AD10" s="1214"/>
      <c r="AE10" s="1214"/>
      <c r="AF10" s="1214"/>
      <c r="AG10" s="1214"/>
      <c r="AH10" s="1214"/>
      <c r="AI10" s="1214"/>
      <c r="AJ10" s="1214"/>
      <c r="AK10" s="1214"/>
      <c r="AL10" s="1214"/>
      <c r="AM10" s="1214"/>
      <c r="AN10" s="1215"/>
    </row>
    <row r="11" spans="1:40">
      <c r="A11" s="1215"/>
      <c r="B11" s="1214"/>
      <c r="C11" s="1214"/>
      <c r="D11" s="1214"/>
      <c r="E11" s="1214"/>
      <c r="F11" s="1214"/>
      <c r="G11" s="1214"/>
      <c r="H11" s="1214"/>
      <c r="I11" s="1214"/>
      <c r="J11" s="1214"/>
      <c r="K11" s="1214"/>
      <c r="L11" s="1214"/>
      <c r="M11" s="1214"/>
      <c r="N11" s="1214"/>
      <c r="O11" s="1214"/>
      <c r="P11" s="1214"/>
      <c r="Q11" s="1214"/>
      <c r="R11" s="1214"/>
      <c r="S11" s="1214"/>
      <c r="T11" s="1214"/>
      <c r="U11" s="1214"/>
      <c r="V11" s="1214"/>
      <c r="W11" s="1214"/>
      <c r="X11" s="1214"/>
      <c r="Y11" s="1214"/>
      <c r="Z11" s="1214"/>
      <c r="AA11" s="1214"/>
      <c r="AB11" s="1214"/>
      <c r="AC11" s="1214"/>
      <c r="AD11" s="1214"/>
      <c r="AE11" s="1214"/>
      <c r="AF11" s="1214"/>
      <c r="AG11" s="1214"/>
      <c r="AH11" s="1214"/>
      <c r="AI11" s="1214"/>
      <c r="AJ11" s="1214"/>
      <c r="AK11" s="1214"/>
      <c r="AL11" s="1214"/>
      <c r="AM11" s="1214"/>
      <c r="AN11" s="1215"/>
    </row>
    <row r="12" spans="1:40">
      <c r="A12" s="1215"/>
      <c r="B12" s="1214"/>
      <c r="C12" s="1214"/>
      <c r="D12" s="1214"/>
      <c r="E12" s="1214"/>
      <c r="F12" s="1214"/>
      <c r="G12" s="1214"/>
      <c r="H12" s="1214"/>
      <c r="I12" s="1214"/>
      <c r="J12" s="1214"/>
      <c r="K12" s="1214"/>
      <c r="L12" s="1214"/>
      <c r="M12" s="1214"/>
      <c r="N12" s="1214"/>
      <c r="O12" s="1214"/>
      <c r="P12" s="1214"/>
      <c r="Q12" s="1214"/>
      <c r="R12" s="1214"/>
      <c r="S12" s="1214"/>
      <c r="T12" s="1214"/>
      <c r="U12" s="1214"/>
      <c r="V12" s="1214"/>
      <c r="W12" s="1214"/>
      <c r="X12" s="1214"/>
      <c r="Y12" s="1214"/>
      <c r="Z12" s="1214"/>
      <c r="AA12" s="1214"/>
      <c r="AB12" s="1214"/>
      <c r="AC12" s="1214"/>
      <c r="AD12" s="1214"/>
      <c r="AE12" s="1214"/>
      <c r="AF12" s="1214"/>
      <c r="AG12" s="1214"/>
      <c r="AH12" s="1214"/>
      <c r="AI12" s="1214"/>
      <c r="AJ12" s="1214"/>
      <c r="AK12" s="1214"/>
      <c r="AL12" s="1214"/>
      <c r="AM12" s="1214"/>
      <c r="AN12" s="1215"/>
    </row>
    <row r="13" spans="1:40">
      <c r="A13" s="1215"/>
      <c r="B13" s="1214"/>
      <c r="C13" s="1214"/>
      <c r="D13" s="1214"/>
      <c r="E13" s="1214"/>
      <c r="F13" s="1214"/>
      <c r="G13" s="1214"/>
      <c r="H13" s="1214"/>
      <c r="I13" s="1214"/>
      <c r="J13" s="1214"/>
      <c r="K13" s="1214"/>
      <c r="L13" s="1214"/>
      <c r="M13" s="1214"/>
      <c r="N13" s="1214"/>
      <c r="O13" s="1214"/>
      <c r="P13" s="1214"/>
      <c r="Q13" s="1214"/>
      <c r="R13" s="1214"/>
      <c r="S13" s="1214"/>
      <c r="T13" s="1214"/>
      <c r="U13" s="1214"/>
      <c r="V13" s="1214"/>
      <c r="W13" s="1214"/>
      <c r="X13" s="1214"/>
      <c r="Y13" s="1214"/>
      <c r="Z13" s="1214"/>
      <c r="AA13" s="1214"/>
      <c r="AB13" s="1214"/>
      <c r="AC13" s="1214"/>
      <c r="AD13" s="1214"/>
      <c r="AE13" s="1214"/>
      <c r="AF13" s="1214"/>
      <c r="AG13" s="1214"/>
      <c r="AH13" s="1214"/>
      <c r="AI13" s="1214"/>
      <c r="AJ13" s="1214"/>
      <c r="AK13" s="1214"/>
      <c r="AL13" s="1214"/>
      <c r="AM13" s="1214"/>
      <c r="AN13" s="1215"/>
    </row>
    <row r="14" spans="1:40">
      <c r="A14" s="1215"/>
      <c r="B14" s="1214"/>
      <c r="C14" s="1214"/>
      <c r="D14" s="1214"/>
      <c r="E14" s="1214"/>
      <c r="F14" s="1214"/>
      <c r="G14" s="1214"/>
      <c r="H14" s="1214"/>
      <c r="I14" s="1214"/>
      <c r="J14" s="1214"/>
      <c r="K14" s="1214"/>
      <c r="L14" s="1214"/>
      <c r="M14" s="1214"/>
      <c r="N14" s="1214"/>
      <c r="O14" s="1214"/>
      <c r="P14" s="1214"/>
      <c r="Q14" s="1214"/>
      <c r="R14" s="1214"/>
      <c r="S14" s="1214"/>
      <c r="T14" s="1214"/>
      <c r="U14" s="1214"/>
      <c r="V14" s="1214"/>
      <c r="W14" s="1214"/>
      <c r="X14" s="1214"/>
      <c r="Y14" s="1214"/>
      <c r="Z14" s="1214"/>
      <c r="AA14" s="1214"/>
      <c r="AB14" s="1214"/>
      <c r="AC14" s="1214"/>
      <c r="AD14" s="1214"/>
      <c r="AE14" s="1214"/>
      <c r="AF14" s="1214"/>
      <c r="AG14" s="1214"/>
      <c r="AH14" s="1214"/>
      <c r="AI14" s="1214"/>
      <c r="AJ14" s="1214"/>
      <c r="AK14" s="1214"/>
      <c r="AL14" s="1214"/>
      <c r="AM14" s="1214"/>
      <c r="AN14" s="1215"/>
    </row>
    <row r="15" spans="1:40" ht="20.25">
      <c r="A15" s="1215"/>
      <c r="B15" s="1214"/>
      <c r="C15" s="1214"/>
      <c r="D15" s="1214"/>
      <c r="E15" s="1214"/>
      <c r="F15" s="1214"/>
      <c r="G15" s="1214"/>
      <c r="H15" s="1214"/>
      <c r="I15" s="1214"/>
      <c r="J15" s="1214"/>
      <c r="K15" s="1214"/>
      <c r="L15" s="1214"/>
      <c r="M15" s="1214"/>
      <c r="N15" s="1214"/>
      <c r="O15" s="1214"/>
      <c r="P15" s="1214"/>
      <c r="Q15" s="1214"/>
      <c r="R15" s="1214"/>
      <c r="S15" s="1214"/>
      <c r="T15" s="1214"/>
      <c r="U15" s="1214"/>
      <c r="V15" s="1214"/>
      <c r="W15" s="1214"/>
      <c r="X15" s="1214"/>
      <c r="Y15" s="1214"/>
      <c r="Z15" s="1214"/>
      <c r="AA15" s="1214"/>
      <c r="AB15" s="1214"/>
      <c r="AC15" s="1218" t="inlineStr">
        <is>
          <t xml:space="preserve">CONSTRUCTION PROGRESS :</t>
        </is>
      </c>
      <c r="AD15" s="1214"/>
      <c r="AE15" s="1214"/>
      <c r="AF15" s="1218"/>
      <c r="AG15" s="1218">
        <f>'Carátula (P)'!C17</f>
        <v>34</v>
      </c>
      <c r="AH15" s="1214"/>
      <c r="AI15" s="1214"/>
      <c r="AJ15" s="1214"/>
      <c r="AK15" s="1214"/>
      <c r="AL15" s="1214"/>
      <c r="AM15" s="1214"/>
      <c r="AN15" s="1215"/>
    </row>
    <row r="16" spans="1:40" ht="15.75" thickBot="1">
      <c r="A16" s="1215"/>
      <c r="B16" s="1214"/>
      <c r="C16" s="1214"/>
      <c r="D16" s="1214"/>
      <c r="E16" s="1214"/>
      <c r="F16" s="1214"/>
      <c r="G16" s="1214"/>
      <c r="H16" s="1214"/>
      <c r="I16" s="1214"/>
      <c r="J16" s="1214"/>
      <c r="K16" s="1214"/>
      <c r="L16" s="1214"/>
      <c r="M16" s="1214"/>
      <c r="N16" s="1214"/>
      <c r="O16" s="1214"/>
      <c r="P16" s="1214"/>
      <c r="Q16" s="1214"/>
      <c r="R16" s="1214"/>
      <c r="S16" s="1214"/>
      <c r="T16" s="1214"/>
      <c r="U16" s="1214"/>
      <c r="V16" s="1214"/>
      <c r="W16" s="1214"/>
      <c r="X16" s="1214"/>
      <c r="Y16" s="1214"/>
      <c r="Z16" s="1214"/>
      <c r="AA16" s="1214"/>
      <c r="AB16" s="1214"/>
      <c r="AC16" s="1214"/>
      <c r="AD16" s="1214"/>
      <c r="AE16" s="1214"/>
      <c r="AF16" s="2307" t="inlineStr">
        <is>
          <t xml:space="preserve">SEMANAL</t>
        </is>
      </c>
      <c r="AG16" s="2307"/>
      <c r="AH16" s="2307"/>
      <c r="AI16" s="2307"/>
      <c r="AJ16" s="2307" t="inlineStr">
        <is>
          <t xml:space="preserve">ACUMULADO</t>
        </is>
      </c>
      <c r="AK16" s="2307"/>
      <c r="AL16" s="2307"/>
      <c r="AM16" s="2307"/>
      <c r="AN16" s="1215"/>
    </row>
    <row r="17" spans="1:42" ht="24.95" customHeight="1" thickBot="1">
      <c r="A17" s="1219"/>
      <c r="B17" s="1214"/>
      <c r="C17" s="1214"/>
      <c r="D17" s="1214"/>
      <c r="E17" s="1214"/>
      <c r="F17" s="1214"/>
      <c r="G17" s="1214"/>
      <c r="H17" s="1214"/>
      <c r="I17" s="1214"/>
      <c r="J17" s="1214"/>
      <c r="K17" s="1214"/>
      <c r="L17" s="1214"/>
      <c r="M17" s="1214"/>
      <c r="N17" s="1214"/>
      <c r="O17" s="1214"/>
      <c r="P17" s="1214"/>
      <c r="Q17" s="1214"/>
      <c r="R17" s="1214"/>
      <c r="S17" s="1214"/>
      <c r="T17" s="1214"/>
      <c r="U17" s="1214"/>
      <c r="V17" s="1214"/>
      <c r="W17" s="1214"/>
      <c r="X17" s="1214"/>
      <c r="Y17" s="1214"/>
      <c r="Z17" s="1214"/>
      <c r="AA17" s="1214"/>
      <c r="AB17" s="1214"/>
      <c r="AC17" s="1214"/>
      <c r="AD17" s="1214"/>
      <c r="AE17" s="1214"/>
      <c r="AF17" s="2308" t="inlineStr">
        <is>
          <t xml:space="preserve">Planned</t>
        </is>
      </c>
      <c r="AG17" s="2309"/>
      <c r="AH17" s="2310" t="inlineStr">
        <is>
          <t xml:space="preserve">Actual</t>
        </is>
      </c>
      <c r="AI17" s="2311"/>
      <c r="AJ17" s="2308" t="inlineStr">
        <is>
          <t xml:space="preserve">Planned</t>
        </is>
      </c>
      <c r="AK17" s="2309"/>
      <c r="AL17" s="2310" t="inlineStr">
        <is>
          <t xml:space="preserve">Actual</t>
        </is>
      </c>
      <c r="AM17" s="2311"/>
      <c r="AN17" s="1215"/>
    </row>
    <row r="18" spans="1:42" ht="39.950000000000003" customHeight="1" thickBot="1">
      <c r="A18" s="1215"/>
      <c r="B18" s="1214"/>
      <c r="C18" s="1214"/>
      <c r="D18" s="1214"/>
      <c r="E18" s="1214"/>
      <c r="F18" s="1214"/>
      <c r="G18" s="1214"/>
      <c r="H18" s="1214"/>
      <c r="I18" s="1214"/>
      <c r="J18" s="1214"/>
      <c r="K18" s="1214"/>
      <c r="L18" s="1214"/>
      <c r="M18" s="1214"/>
      <c r="N18" s="1214"/>
      <c r="O18" s="1214"/>
      <c r="P18" s="1214"/>
      <c r="Q18" s="1214"/>
      <c r="R18" s="1214"/>
      <c r="S18" s="1214"/>
      <c r="T18" s="1214"/>
      <c r="U18" s="1214"/>
      <c r="V18" s="1214"/>
      <c r="W18" s="1214"/>
      <c r="X18" s="1214"/>
      <c r="Y18" s="1214"/>
      <c r="Z18" s="1214"/>
      <c r="AA18" s="1214"/>
      <c r="AB18" s="1214"/>
      <c r="AC18" s="2276" t="inlineStr">
        <is>
          <t xml:space="preserve">LB0</t>
        </is>
      </c>
      <c r="AD18" s="2277"/>
      <c r="AE18" s="2277"/>
      <c r="AF18" s="2293">
        <f>IFERROR(INDEX('PHYSICAL % PROGRESS'!P220:AG220,MATCH($AG$15,'PHYSICAL % PROGRESS'!$P$7:$AG$7,0)),0)</f>
        <v>7.0535200409465593E-2</v>
      </c>
      <c r="AG18" s="2294"/>
      <c r="AH18" s="2295">
        <f>IFERROR(INDEX('PHYSICAL % PROGRESS'!P221:AG221,MATCH($AG$15,'PHYSICAL % PROGRESS'!$P$7:$AG$7,0)),0)</f>
        <v>9.0620000000000006E-3</v>
      </c>
      <c r="AI18" s="2296"/>
      <c r="AJ18" s="2293">
        <f>IFERROR(INDEX('PHYSICAL % PROGRESS'!P218:AG218,MATCH($AG$15,'PHYSICAL % PROGRESS'!$P$7:$AG$7,0)),0)</f>
        <v>0.14453843813018286</v>
      </c>
      <c r="AK18" s="2294"/>
      <c r="AL18" s="2293">
        <f>IFERROR(INDEX('PHYSICAL % PROGRESS'!P219:AG219,MATCH($AG$15,'PHYSICAL % PROGRESS'!$P$7:$AG$7,0)),0)</f>
        <v>5.0217999999999999E-2</v>
      </c>
      <c r="AM18" s="2294"/>
      <c r="AN18" s="1215"/>
    </row>
    <row r="19" spans="1:42" ht="44.25" hidden="1" customHeight="1" thickBot="1">
      <c r="A19" s="1215"/>
      <c r="B19" s="1217"/>
      <c r="C19" s="1220"/>
      <c r="D19" s="1220"/>
      <c r="E19" s="1220"/>
      <c r="F19" s="1220"/>
      <c r="G19" s="1220"/>
      <c r="H19" s="1220"/>
      <c r="I19" s="1220"/>
      <c r="J19" s="1220"/>
      <c r="K19" s="1220"/>
      <c r="L19" s="1220"/>
      <c r="M19" s="1220"/>
      <c r="N19" s="1220"/>
      <c r="O19" s="1220"/>
      <c r="P19" s="1220"/>
      <c r="Q19" s="1220"/>
      <c r="R19" s="1220"/>
      <c r="S19" s="1220"/>
      <c r="T19" s="1220"/>
      <c r="U19" s="1220"/>
      <c r="V19" s="1220"/>
      <c r="W19" s="1220"/>
      <c r="X19" s="1220"/>
      <c r="Y19" s="1220"/>
      <c r="Z19" s="1220"/>
      <c r="AA19" s="1214"/>
      <c r="AB19" s="1214"/>
      <c r="AC19" s="2297" t="inlineStr">
        <is>
          <t xml:space="preserve">ReProg</t>
        </is>
      </c>
      <c r="AD19" s="2298"/>
      <c r="AE19" s="2298"/>
      <c r="AF19" s="2299"/>
      <c r="AG19" s="2300"/>
      <c r="AH19" s="2301"/>
      <c r="AI19" s="2302"/>
      <c r="AJ19" s="2303"/>
      <c r="AK19" s="2304"/>
      <c r="AL19" s="2305"/>
      <c r="AM19" s="2306"/>
      <c r="AN19" s="1215"/>
      <c r="AP19" s="1221"/>
    </row>
    <row r="20" spans="1:42" ht="18.75" customHeight="1" thickBot="1">
      <c r="A20" s="1215"/>
      <c r="B20" s="1217"/>
      <c r="C20" s="1220"/>
      <c r="D20" s="1220"/>
      <c r="E20" s="1220"/>
      <c r="F20" s="1220"/>
      <c r="G20" s="1220"/>
      <c r="H20" s="1220"/>
      <c r="I20" s="1220"/>
      <c r="J20" s="1220"/>
      <c r="K20" s="1220"/>
      <c r="L20" s="1220"/>
      <c r="M20" s="1220"/>
      <c r="N20" s="1220"/>
      <c r="O20" s="1220"/>
      <c r="P20" s="1220"/>
      <c r="Q20" s="1220"/>
      <c r="R20" s="1220"/>
      <c r="S20" s="1220"/>
      <c r="T20" s="1220"/>
      <c r="U20" s="1220"/>
      <c r="V20" s="1220"/>
      <c r="W20" s="1220"/>
      <c r="X20" s="1220"/>
      <c r="Y20" s="1220"/>
      <c r="Z20" s="1220"/>
      <c r="AA20" s="1214"/>
      <c r="AB20" s="1214"/>
      <c r="AC20" s="2292" t="inlineStr">
        <is>
          <t xml:space="preserve">RESPECTO AL CRONOGRAMA LB0</t>
        </is>
      </c>
      <c r="AD20" s="2292"/>
      <c r="AE20" s="2292"/>
      <c r="AF20" s="2292"/>
      <c r="AG20" s="2292"/>
      <c r="AH20" s="2292"/>
      <c r="AI20" s="2292"/>
      <c r="AJ20" s="2292"/>
      <c r="AK20" s="2292"/>
      <c r="AL20" s="2292"/>
      <c r="AM20" s="2292"/>
      <c r="AN20" s="1215"/>
      <c r="AP20" s="1221"/>
    </row>
    <row r="21" spans="1:42" ht="32.25" customHeight="1" thickBot="1">
      <c r="A21" s="1215"/>
      <c r="B21" s="1217"/>
      <c r="C21" s="1220"/>
      <c r="D21" s="1220"/>
      <c r="E21" s="1220"/>
      <c r="F21" s="1220"/>
      <c r="G21" s="1220"/>
      <c r="H21" s="1220"/>
      <c r="I21" s="1220"/>
      <c r="J21" s="1220"/>
      <c r="K21" s="1220"/>
      <c r="L21" s="1220"/>
      <c r="M21" s="1220"/>
      <c r="N21" s="1220"/>
      <c r="O21" s="1220"/>
      <c r="P21" s="1220"/>
      <c r="Q21" s="1220"/>
      <c r="R21" s="1220"/>
      <c r="S21" s="1220"/>
      <c r="T21" s="1220"/>
      <c r="U21" s="1220"/>
      <c r="V21" s="1220"/>
      <c r="W21" s="1220"/>
      <c r="X21" s="1220"/>
      <c r="Y21" s="1220"/>
      <c r="Z21" s="1220"/>
      <c r="AA21" s="1214"/>
      <c r="AB21" s="1214"/>
      <c r="AC21" s="2276" t="inlineStr">
        <is>
          <t xml:space="preserve">SPI (Semanal</t>
        </is>
      </c>
      <c r="AD21" s="2277"/>
      <c r="AE21" s="2277"/>
      <c r="AF21" s="2278">
        <f>IFERROR(AH18/AF18,0)</f>
        <v>0.12847486003291925</v>
      </c>
      <c r="AG21" s="2279"/>
      <c r="AH21" s="1222"/>
      <c r="AI21" s="2276" t="inlineStr">
        <is>
          <t xml:space="preserve">SPI (Total)</t>
        </is>
      </c>
      <c r="AJ21" s="2277"/>
      <c r="AK21" s="2277"/>
      <c r="AL21" s="2278">
        <f>IFERROR(AL18/AJ18,0)</f>
        <v>0.34743699080773005</v>
      </c>
      <c r="AM21" s="2279"/>
      <c r="AN21" s="1215"/>
      <c r="AP21" s="1221"/>
    </row>
    <row r="22" spans="1:42" ht="15.75" thickBot="1">
      <c r="A22" s="1215"/>
      <c r="B22" s="1217"/>
      <c r="C22" s="1220"/>
      <c r="D22" s="1220"/>
      <c r="E22" s="1220"/>
      <c r="F22" s="1220"/>
      <c r="G22" s="1220"/>
      <c r="H22" s="1220"/>
      <c r="I22" s="1220"/>
      <c r="J22" s="1220"/>
      <c r="K22" s="1220"/>
      <c r="L22" s="1220"/>
      <c r="M22" s="1220"/>
      <c r="N22" s="1220"/>
      <c r="O22" s="1220"/>
      <c r="P22" s="1220"/>
      <c r="Q22" s="1220"/>
      <c r="R22" s="1220"/>
      <c r="S22" s="1220"/>
      <c r="T22" s="1220"/>
      <c r="U22" s="1220"/>
      <c r="V22" s="1220"/>
      <c r="W22" s="1220"/>
      <c r="X22" s="1220"/>
      <c r="Y22" s="1220"/>
      <c r="Z22" s="1220"/>
      <c r="AA22" s="1214"/>
      <c r="AB22" s="1214"/>
      <c r="AN22" s="1215"/>
    </row>
    <row r="23" spans="1:42" ht="15" customHeight="1">
      <c r="A23" s="1215"/>
      <c r="B23" s="1217"/>
      <c r="C23" s="1223"/>
      <c r="D23" s="1223"/>
      <c r="E23" s="1223"/>
      <c r="F23" s="1223"/>
      <c r="G23" s="1223"/>
      <c r="H23" s="1223"/>
      <c r="I23" s="1223"/>
      <c r="J23" s="1223"/>
      <c r="K23" s="1223"/>
      <c r="L23" s="1223"/>
      <c r="M23" s="1223"/>
      <c r="N23" s="1223"/>
      <c r="O23" s="1223"/>
      <c r="P23" s="1223"/>
      <c r="Q23" s="1223"/>
      <c r="R23" s="1223"/>
      <c r="S23" s="1223"/>
      <c r="T23" s="1223"/>
      <c r="U23" s="1223"/>
      <c r="V23" s="1223"/>
      <c r="W23" s="1223"/>
      <c r="X23" s="1223"/>
      <c r="Y23" s="1223"/>
      <c r="Z23" s="1223"/>
      <c r="AA23" s="1224"/>
      <c r="AB23" s="1214"/>
      <c r="AC23" s="1225" t="inlineStr">
        <is>
          <t xml:space="preserve">Estatus RFI's</t>
        </is>
      </c>
      <c r="AD23" s="1226"/>
      <c r="AE23" s="1226"/>
      <c r="AF23" s="1226"/>
      <c r="AG23" s="1227"/>
      <c r="AH23" s="1227"/>
      <c r="AI23" s="1227"/>
      <c r="AJ23" s="1227"/>
      <c r="AK23" s="1227"/>
      <c r="AL23" s="1227"/>
      <c r="AM23" s="1228"/>
      <c r="AN23" s="1215"/>
    </row>
    <row r="24" spans="1:42" ht="15" customHeight="1">
      <c r="A24" s="1215"/>
      <c r="B24" s="1217"/>
      <c r="C24" s="1223"/>
      <c r="D24" s="1223"/>
      <c r="E24" s="1223"/>
      <c r="F24" s="1223"/>
      <c r="G24" s="1223"/>
      <c r="H24" s="1223"/>
      <c r="I24" s="1223"/>
      <c r="J24" s="1223"/>
      <c r="K24" s="1223"/>
      <c r="L24" s="1223"/>
      <c r="M24" s="1223"/>
      <c r="N24" s="1223"/>
      <c r="O24" s="1223"/>
      <c r="P24" s="1223"/>
      <c r="Q24" s="1223"/>
      <c r="R24" s="1223"/>
      <c r="S24" s="1223"/>
      <c r="T24" s="1223"/>
      <c r="U24" s="1223"/>
      <c r="V24" s="1223"/>
      <c r="W24" s="1223"/>
      <c r="X24" s="1223"/>
      <c r="Y24" s="1223"/>
      <c r="Z24" s="1223"/>
      <c r="AA24" s="1224"/>
      <c r="AB24" s="1214"/>
      <c r="AC24" s="1229" t="inlineStr">
        <is>
          <t xml:space="preserve">Enviados </t>
        </is>
      </c>
      <c r="AD24" s="1230"/>
      <c r="AE24" s="1231"/>
      <c r="AF24" s="1232"/>
      <c r="AG24" s="1233">
        <f>COUNT(RFI!$B$9:$B$200)</f>
        <v>2</v>
      </c>
      <c r="AH24" s="1230" t="inlineStr">
        <is>
          <t xml:space="preserve">Pendiente p/MY</t>
        </is>
      </c>
      <c r="AI24" s="1230"/>
      <c r="AJ24" s="1232">
        <f>COUNTIF(RFI!$C$9:$C$200,"ABIERTO")</f>
        <v>0</v>
      </c>
      <c r="AK24" s="1230" t="inlineStr">
        <is>
          <t xml:space="preserve">No completado</t>
        </is>
      </c>
      <c r="AL24" s="1230"/>
      <c r="AM24" s="1234">
        <f>COUNTIF(RFI!$J$9:$J$200,"NO COMPLETADO")</f>
        <v>0</v>
      </c>
    </row>
    <row r="25" spans="1:42" ht="15" customHeight="1" thickBot="1">
      <c r="A25" s="1215"/>
      <c r="B25" s="1217"/>
      <c r="C25" s="1223"/>
      <c r="D25" s="1223"/>
      <c r="E25" s="1223"/>
      <c r="F25" s="1223"/>
      <c r="G25" s="1223"/>
      <c r="H25" s="1223"/>
      <c r="I25" s="1223"/>
      <c r="J25" s="1223"/>
      <c r="K25" s="1223"/>
      <c r="L25" s="1223"/>
      <c r="M25" s="1223"/>
      <c r="N25" s="1223"/>
      <c r="O25" s="1223"/>
      <c r="P25" s="1223"/>
      <c r="Q25" s="1223"/>
      <c r="R25" s="1223"/>
      <c r="S25" s="1223"/>
      <c r="T25" s="1223"/>
      <c r="U25" s="1223"/>
      <c r="V25" s="1223"/>
      <c r="W25" s="1223"/>
      <c r="X25" s="1223"/>
      <c r="Y25" s="1223"/>
      <c r="Z25" s="1223"/>
      <c r="AA25" s="1224"/>
      <c r="AB25" s="1214"/>
      <c r="AC25" s="1235" t="inlineStr">
        <is>
          <t xml:space="preserve">Respondidos por MY</t>
        </is>
      </c>
      <c r="AD25" s="1236"/>
      <c r="AE25" s="1237"/>
      <c r="AF25" s="1238"/>
      <c r="AG25" s="1239">
        <f>COUNT(RFI!$L$9:$L$200)</f>
        <v>2</v>
      </c>
      <c r="AH25" s="1236" t="inlineStr">
        <is>
          <t xml:space="preserve">Cancelado</t>
        </is>
      </c>
      <c r="AI25" s="1236"/>
      <c r="AJ25" s="1238">
        <f>COUNTIF(RFI!$J$9:$J$200,"ANULADO")</f>
        <v>0</v>
      </c>
      <c r="AK25" s="1236" t="inlineStr">
        <is>
          <t xml:space="preserve">Cerrado</t>
        </is>
      </c>
      <c r="AL25" s="1236"/>
      <c r="AM25" s="1240">
        <f>COUNTIF(RFI!$C$9:$C$200,"CERRADO")</f>
        <v>2</v>
      </c>
    </row>
    <row r="26" spans="1:42" ht="15" customHeight="1">
      <c r="A26" s="1215"/>
      <c r="B26" s="1217"/>
      <c r="C26" s="1223"/>
      <c r="D26" s="1223"/>
      <c r="E26" s="1223"/>
      <c r="F26" s="1223"/>
      <c r="G26" s="1223"/>
      <c r="H26" s="1223"/>
      <c r="I26" s="1223"/>
      <c r="J26" s="1223"/>
      <c r="K26" s="1223"/>
      <c r="L26" s="1223"/>
      <c r="M26" s="1223"/>
      <c r="N26" s="1223"/>
      <c r="O26" s="1223"/>
      <c r="P26" s="1223"/>
      <c r="Q26" s="1223"/>
      <c r="R26" s="1223"/>
      <c r="S26" s="1223"/>
      <c r="T26" s="1223"/>
      <c r="U26" s="1223"/>
      <c r="V26" s="1223"/>
      <c r="W26" s="1223"/>
      <c r="X26" s="1223"/>
      <c r="Y26" s="1223"/>
      <c r="Z26" s="1223"/>
      <c r="AA26" s="1224"/>
      <c r="AB26" s="1214"/>
      <c r="AC26" s="1225" t="inlineStr">
        <is>
          <t xml:space="preserve">Estatus FCR's</t>
        </is>
      </c>
      <c r="AD26" s="1226"/>
      <c r="AE26" s="1226"/>
      <c r="AF26" s="1226"/>
      <c r="AG26" s="1227"/>
      <c r="AH26" s="1227"/>
      <c r="AI26" s="1227"/>
      <c r="AJ26" s="1227"/>
      <c r="AK26" s="1227"/>
      <c r="AL26" s="1227"/>
      <c r="AM26" s="1228"/>
      <c r="AN26" s="1215"/>
    </row>
    <row r="27" spans="1:42" ht="15" customHeight="1">
      <c r="A27" s="1215"/>
      <c r="B27" s="1217"/>
      <c r="C27" s="1223"/>
      <c r="D27" s="1223"/>
      <c r="E27" s="1223"/>
      <c r="F27" s="1223"/>
      <c r="G27" s="1223"/>
      <c r="H27" s="1223"/>
      <c r="I27" s="1223"/>
      <c r="J27" s="1223"/>
      <c r="K27" s="1223"/>
      <c r="L27" s="1223"/>
      <c r="M27" s="1223"/>
      <c r="N27" s="1223"/>
      <c r="O27" s="1223"/>
      <c r="P27" s="1223"/>
      <c r="Q27" s="1223"/>
      <c r="R27" s="1223"/>
      <c r="S27" s="1223"/>
      <c r="T27" s="1223"/>
      <c r="U27" s="1223"/>
      <c r="V27" s="1223"/>
      <c r="W27" s="1223"/>
      <c r="X27" s="1223"/>
      <c r="Y27" s="1223"/>
      <c r="Z27" s="1223"/>
      <c r="AA27" s="1224"/>
      <c r="AB27" s="1214"/>
      <c r="AC27" s="1229" t="inlineStr">
        <is>
          <t xml:space="preserve">Enviados </t>
        </is>
      </c>
      <c r="AD27" s="1230"/>
      <c r="AE27" s="1231"/>
      <c r="AF27" s="1232"/>
      <c r="AG27" s="1233">
        <f>COUNT(FCR!$A$9:$A$200)</f>
        <v>2</v>
      </c>
      <c r="AH27" s="1230" t="inlineStr">
        <is>
          <t xml:space="preserve">Pendiente p/MY</t>
        </is>
      </c>
      <c r="AI27" s="1230"/>
      <c r="AJ27" s="1232">
        <f>COUNTIF(FCR!$J$9:$J$200,"PENDIENTE*")</f>
        <v>0</v>
      </c>
      <c r="AK27" s="1230" t="inlineStr">
        <is>
          <t xml:space="preserve">No completado</t>
        </is>
      </c>
      <c r="AL27" s="1230"/>
      <c r="AM27" s="1234">
        <f>COUNTIF(FCR!$J$9:$J$200,"NO COMPLETADO")</f>
        <v>0</v>
      </c>
    </row>
    <row r="28" spans="1:42" ht="15" customHeight="1">
      <c r="A28" s="1215"/>
      <c r="B28" s="1217"/>
      <c r="C28" s="1223"/>
      <c r="D28" s="1223"/>
      <c r="E28" s="1223"/>
      <c r="F28" s="1223"/>
      <c r="G28" s="1223"/>
      <c r="H28" s="1223"/>
      <c r="I28" s="1223"/>
      <c r="J28" s="1223"/>
      <c r="K28" s="1223"/>
      <c r="L28" s="1223"/>
      <c r="M28" s="1223"/>
      <c r="N28" s="1223"/>
      <c r="O28" s="1223"/>
      <c r="P28" s="1223"/>
      <c r="Q28" s="1223"/>
      <c r="R28" s="1223"/>
      <c r="S28" s="1223"/>
      <c r="T28" s="1223"/>
      <c r="U28" s="1223"/>
      <c r="V28" s="1223"/>
      <c r="W28" s="1223"/>
      <c r="X28" s="1223"/>
      <c r="Y28" s="1223"/>
      <c r="Z28" s="1223"/>
      <c r="AA28" s="1224"/>
      <c r="AB28" s="1214"/>
      <c r="AC28" s="1235" t="inlineStr">
        <is>
          <t xml:space="preserve">Respondidos por MY</t>
        </is>
      </c>
      <c r="AD28" s="1236"/>
      <c r="AE28" s="1237"/>
      <c r="AF28" s="1238"/>
      <c r="AG28" s="1239">
        <f>COUNT(FCR!$I$9:$I$200)</f>
        <v>2</v>
      </c>
      <c r="AH28" s="1236" t="inlineStr">
        <is>
          <t xml:space="preserve">Cancelado</t>
        </is>
      </c>
      <c r="AI28" s="1236"/>
      <c r="AJ28" s="1238">
        <f>COUNTIF(FCR!$J$9:$J$200,"ANULADO")</f>
        <v>0</v>
      </c>
      <c r="AK28" s="1236" t="inlineStr">
        <is>
          <t xml:space="preserve">Cerrado</t>
        </is>
      </c>
      <c r="AL28" s="1236"/>
      <c r="AM28" s="1240">
        <f>COUNTIF(FCR!$J$9:$J$200,"PROCEDE*")+COUNTIF(FCR!$J$9:$J$200,"CERRADO*")</f>
        <v>2</v>
      </c>
    </row>
    <row r="29" spans="1:42" ht="24.95" customHeight="1">
      <c r="A29" s="1215"/>
      <c r="B29" s="1217"/>
      <c r="C29" s="1223"/>
      <c r="D29" s="1223"/>
      <c r="E29" s="1223"/>
      <c r="F29" s="1223"/>
      <c r="G29" s="1223"/>
      <c r="H29" s="1223"/>
      <c r="I29" s="1223"/>
      <c r="J29" s="1223"/>
      <c r="K29" s="1223"/>
      <c r="L29" s="1223"/>
      <c r="M29" s="1223"/>
      <c r="N29" s="1223"/>
      <c r="O29" s="1223"/>
      <c r="P29" s="1223"/>
      <c r="Q29" s="1223"/>
      <c r="R29" s="1223"/>
      <c r="S29" s="1223"/>
      <c r="T29" s="1223"/>
      <c r="U29" s="1223"/>
      <c r="V29" s="1223"/>
      <c r="W29" s="1223"/>
      <c r="X29" s="1223"/>
      <c r="Y29" s="1223"/>
      <c r="Z29" s="1223"/>
      <c r="AA29" s="1224"/>
      <c r="AB29" s="1214"/>
      <c r="AC29" s="1241" t="inlineStr">
        <is>
          <t xml:space="preserve">Estatus Protocolos QA/QC</t>
        </is>
      </c>
      <c r="AD29" s="1242"/>
      <c r="AE29" s="1242"/>
      <c r="AF29" s="1242"/>
      <c r="AG29" s="1243"/>
      <c r="AH29" s="1243"/>
      <c r="AI29" s="1243"/>
      <c r="AJ29" s="1243"/>
      <c r="AK29" s="1243"/>
      <c r="AL29" s="1243"/>
      <c r="AM29" s="1244"/>
    </row>
    <row r="30" spans="1:42" ht="24.95" customHeight="1">
      <c r="A30" s="1215"/>
      <c r="B30" s="1217"/>
      <c r="C30" s="1223"/>
      <c r="D30" s="1223"/>
      <c r="E30" s="1223"/>
      <c r="F30" s="1223"/>
      <c r="G30" s="1223"/>
      <c r="H30" s="1223"/>
      <c r="I30" s="1223"/>
      <c r="J30" s="1223"/>
      <c r="K30" s="1223"/>
      <c r="L30" s="1223"/>
      <c r="M30" s="1223"/>
      <c r="N30" s="1223"/>
      <c r="O30" s="1223"/>
      <c r="P30" s="1223"/>
      <c r="Q30" s="1223"/>
      <c r="R30" s="1223"/>
      <c r="S30" s="1223"/>
      <c r="T30" s="1223"/>
      <c r="U30" s="1223"/>
      <c r="V30" s="1223"/>
      <c r="W30" s="1223"/>
      <c r="X30" s="1223"/>
      <c r="Y30" s="1223"/>
      <c r="Z30" s="1223"/>
      <c r="AA30" s="1224"/>
      <c r="AB30" s="1214"/>
      <c r="AC30" s="1229" t="inlineStr">
        <is>
          <t xml:space="preserve">Presentados</t>
        </is>
      </c>
      <c r="AD30" s="1231"/>
      <c r="AE30" s="1231"/>
      <c r="AF30" s="1232"/>
      <c r="AG30" s="1232">
        <v>0</v>
      </c>
      <c r="AH30" s="1230" t="inlineStr">
        <is>
          <t xml:space="preserve">Pendiente p/MY</t>
        </is>
      </c>
      <c r="AI30" s="1231"/>
      <c r="AJ30" s="1232">
        <v>0</v>
      </c>
      <c r="AK30" s="1230"/>
      <c r="AL30" s="1231"/>
      <c r="AM30" s="1245"/>
    </row>
    <row r="31" spans="1:42" ht="24.95" customHeight="1" thickBot="1">
      <c r="A31" s="1215"/>
      <c r="B31" s="1217"/>
      <c r="C31" s="1223"/>
      <c r="D31" s="1223"/>
      <c r="E31" s="1223"/>
      <c r="F31" s="1223"/>
      <c r="G31" s="1223"/>
      <c r="H31" s="1223"/>
      <c r="I31" s="1223"/>
      <c r="J31" s="1223"/>
      <c r="K31" s="1223"/>
      <c r="L31" s="1223"/>
      <c r="M31" s="1223"/>
      <c r="N31" s="1223"/>
      <c r="O31" s="1223"/>
      <c r="P31" s="1223"/>
      <c r="Q31" s="1223"/>
      <c r="R31" s="1223"/>
      <c r="S31" s="1223"/>
      <c r="T31" s="1223"/>
      <c r="U31" s="1223"/>
      <c r="V31" s="1223"/>
      <c r="W31" s="1223"/>
      <c r="X31" s="1223"/>
      <c r="Y31" s="1223"/>
      <c r="Z31" s="1223"/>
      <c r="AA31" s="1224"/>
      <c r="AB31" s="1214"/>
      <c r="AC31" s="1246" t="inlineStr">
        <is>
          <t xml:space="preserve">Aprobados Por MY</t>
        </is>
      </c>
      <c r="AD31" s="1247"/>
      <c r="AE31" s="1247"/>
      <c r="AF31" s="1248"/>
      <c r="AG31" s="1248">
        <v>0</v>
      </c>
      <c r="AH31" s="1249" t="inlineStr">
        <is>
          <t xml:space="preserve">Observado p/MY</t>
        </is>
      </c>
      <c r="AI31" s="1247"/>
      <c r="AJ31" s="1248">
        <v>0</v>
      </c>
      <c r="AK31" s="1247"/>
      <c r="AL31" s="1247"/>
      <c r="AM31" s="1250"/>
    </row>
    <row r="32" spans="1:42" ht="18.75" customHeight="1" thickBot="1">
      <c r="A32" s="1215"/>
      <c r="B32" s="1217"/>
      <c r="C32" s="1220"/>
      <c r="D32" s="1220"/>
      <c r="E32" s="1220"/>
      <c r="F32" s="1220"/>
      <c r="G32" s="1220"/>
      <c r="H32" s="1220"/>
      <c r="I32" s="1220"/>
      <c r="J32" s="1220"/>
      <c r="K32" s="1220"/>
      <c r="L32" s="1220"/>
      <c r="M32" s="1220"/>
      <c r="N32" s="1220"/>
      <c r="O32" s="1220"/>
      <c r="P32" s="1220"/>
      <c r="Q32" s="1220"/>
      <c r="R32" s="1220"/>
      <c r="S32" s="1220"/>
      <c r="T32" s="1220"/>
      <c r="U32" s="1220"/>
      <c r="V32" s="1220"/>
      <c r="W32" s="1220"/>
      <c r="X32" s="1220"/>
      <c r="Y32" s="1220"/>
      <c r="Z32" s="1220"/>
      <c r="AA32" s="1214"/>
      <c r="AB32" s="1214"/>
      <c r="AC32" s="2292" t="inlineStr">
        <is>
          <t xml:space="preserve">RESPECTO AL CRONOGRAMA LB0</t>
        </is>
      </c>
      <c r="AD32" s="2292"/>
      <c r="AE32" s="2292"/>
      <c r="AF32" s="2292"/>
      <c r="AG32" s="2292"/>
      <c r="AH32" s="2292"/>
      <c r="AI32" s="2292"/>
      <c r="AJ32" s="2292"/>
      <c r="AK32" s="2292"/>
      <c r="AL32" s="2292"/>
      <c r="AM32" s="2292"/>
      <c r="AN32" s="1215"/>
      <c r="AP32" s="1221"/>
    </row>
    <row r="33" spans="1:42">
      <c r="A33" s="1215"/>
      <c r="B33" s="1217"/>
      <c r="C33" s="1223"/>
      <c r="D33" s="1223"/>
      <c r="E33" s="1223"/>
      <c r="F33" s="1223"/>
      <c r="G33" s="1223"/>
      <c r="H33" s="1223"/>
      <c r="I33" s="1223"/>
      <c r="J33" s="1223"/>
      <c r="K33" s="1223"/>
      <c r="L33" s="1223"/>
      <c r="M33" s="1223"/>
      <c r="N33" s="1223"/>
      <c r="O33" s="1223"/>
      <c r="P33" s="1223"/>
      <c r="Q33" s="1223"/>
      <c r="R33" s="1223"/>
      <c r="S33" s="1223"/>
      <c r="T33" s="1223"/>
      <c r="U33" s="1223"/>
      <c r="V33" s="1223"/>
      <c r="W33" s="1223"/>
      <c r="X33" s="1223"/>
      <c r="Y33" s="1223"/>
      <c r="Z33" s="1223"/>
      <c r="AA33" s="1224"/>
      <c r="AB33" s="1214"/>
      <c r="AC33" s="2280" t="inlineStr">
        <is>
          <t xml:space="preserve">COSTOS USD:</t>
        </is>
      </c>
      <c r="AD33" s="2281"/>
      <c r="AE33" s="2282"/>
      <c r="AF33" s="2286" t="inlineStr">
        <is>
          <t xml:space="preserve">SEMANA</t>
        </is>
      </c>
      <c r="AG33" s="2287"/>
      <c r="AH33" s="2287"/>
      <c r="AI33" s="2288"/>
      <c r="AJ33" s="2286" t="inlineStr">
        <is>
          <t xml:space="preserve">ACUMULADO</t>
        </is>
      </c>
      <c r="AK33" s="2287"/>
      <c r="AL33" s="2287"/>
      <c r="AM33" s="2288"/>
      <c r="AN33" s="1215"/>
    </row>
    <row r="34" spans="1:42" ht="15" customHeight="1" thickBot="1">
      <c r="A34" s="1215"/>
      <c r="B34" s="1214"/>
      <c r="C34" s="1214"/>
      <c r="D34" s="1214"/>
      <c r="E34" s="1214"/>
      <c r="F34" s="1214"/>
      <c r="G34" s="1214"/>
      <c r="H34" s="1214"/>
      <c r="I34" s="1214"/>
      <c r="J34" s="1214"/>
      <c r="K34" s="1214"/>
      <c r="L34" s="1214"/>
      <c r="M34" s="1214"/>
      <c r="N34" s="1214"/>
      <c r="O34" s="1214"/>
      <c r="P34" s="1214"/>
      <c r="Q34" s="1214"/>
      <c r="R34" s="1214"/>
      <c r="S34" s="1214"/>
      <c r="T34" s="1214"/>
      <c r="U34" s="1214"/>
      <c r="V34" s="1214"/>
      <c r="W34" s="1214"/>
      <c r="X34" s="1214"/>
      <c r="Y34" s="1214"/>
      <c r="Z34" s="1214"/>
      <c r="AA34" s="1214"/>
      <c r="AB34" s="1214"/>
      <c r="AC34" s="2283"/>
      <c r="AD34" s="2284"/>
      <c r="AE34" s="2285"/>
      <c r="AF34" s="2289" t="inlineStr">
        <is>
          <t xml:space="preserve">Planned</t>
        </is>
      </c>
      <c r="AG34" s="2290"/>
      <c r="AH34" s="2290" t="inlineStr">
        <is>
          <t xml:space="preserve">Actual</t>
        </is>
      </c>
      <c r="AI34" s="2291"/>
      <c r="AJ34" s="2289" t="inlineStr">
        <is>
          <t xml:space="preserve">Planned</t>
        </is>
      </c>
      <c r="AK34" s="2290"/>
      <c r="AL34" s="2290" t="inlineStr">
        <is>
          <t xml:space="preserve">Actual</t>
        </is>
      </c>
      <c r="AM34" s="2291"/>
      <c r="AN34" s="1215"/>
    </row>
    <row r="35" spans="1:42" ht="18.75" customHeight="1">
      <c r="A35" s="1215"/>
      <c r="B35" s="1214"/>
      <c r="C35" s="1214"/>
      <c r="D35" s="1214"/>
      <c r="E35" s="1214"/>
      <c r="F35" s="1214"/>
      <c r="G35" s="1214"/>
      <c r="H35" s="1214"/>
      <c r="I35" s="1214"/>
      <c r="J35" s="1214"/>
      <c r="K35" s="1214"/>
      <c r="L35" s="1214"/>
      <c r="M35" s="1214"/>
      <c r="N35" s="1214"/>
      <c r="O35" s="1214"/>
      <c r="P35" s="1214"/>
      <c r="Q35" s="1214"/>
      <c r="R35" s="1214"/>
      <c r="S35" s="1214"/>
      <c r="T35" s="1214"/>
      <c r="U35" s="1214"/>
      <c r="V35" s="1214"/>
      <c r="W35" s="1214"/>
      <c r="X35" s="1214"/>
      <c r="Y35" s="1214"/>
      <c r="Z35" s="1214"/>
      <c r="AA35" s="1214"/>
      <c r="AB35" s="1214"/>
      <c r="AC35" s="1251" t="inlineStr">
        <is>
          <t xml:space="preserve">Contrato Original</t>
        </is>
      </c>
      <c r="AD35" s="1252"/>
      <c r="AE35" s="1253"/>
      <c r="AF35" s="2268">
        <f>IFERROR(INDEX(COSTO!H216:Y216,MATCH($AG$15,COSTO!$H$3:$Y$3,0)),0)</f>
        <v>10638.032121003267</v>
      </c>
      <c r="AG35" s="2269"/>
      <c r="AH35" s="2270">
        <f>IFERROR(INDEX(COSTO!H217:Y217,MATCH($AG$15,COSTO!$H$3:$Y$3,0)),0)</f>
        <v>1389.9606131952551</v>
      </c>
      <c r="AI35" s="2271"/>
      <c r="AJ35" s="2272">
        <f>IFERROR(INDEX(COSTO!H214:Y214,MATCH($AG$15,COSTO!$H$3:$Y$3,0)),0)</f>
        <v>21264.279016621203</v>
      </c>
      <c r="AK35" s="2273"/>
      <c r="AL35" s="2274">
        <f>IFERROR(INDEX(COSTO!H215:Y215,MATCH($AG$15,COSTO!$H$3:$Y$3,0)),0)</f>
        <v>6924.5933346238253</v>
      </c>
      <c r="AM35" s="2275"/>
      <c r="AN35" s="1215"/>
    </row>
    <row r="36" spans="1:42" ht="18.75" customHeight="1" thickBot="1">
      <c r="A36" s="1215"/>
      <c r="B36" s="1217"/>
      <c r="C36" s="1220"/>
      <c r="D36" s="1220"/>
      <c r="E36" s="1220"/>
      <c r="F36" s="1220"/>
      <c r="G36" s="1220"/>
      <c r="H36" s="1220"/>
      <c r="I36" s="1220"/>
      <c r="J36" s="1220"/>
      <c r="K36" s="1220"/>
      <c r="L36" s="1220"/>
      <c r="M36" s="1220"/>
      <c r="N36" s="1220"/>
      <c r="O36" s="1220"/>
      <c r="P36" s="1220"/>
      <c r="Q36" s="1220"/>
      <c r="R36" s="1220"/>
      <c r="S36" s="1220"/>
      <c r="T36" s="1220"/>
      <c r="U36" s="1220"/>
      <c r="V36" s="1220"/>
      <c r="W36" s="1220"/>
      <c r="X36" s="1220"/>
      <c r="Y36" s="1220"/>
      <c r="Z36" s="1220"/>
      <c r="AA36" s="1214"/>
      <c r="AB36" s="1214"/>
      <c r="AC36" s="1254"/>
      <c r="AD36" s="1254"/>
      <c r="AE36" s="1254"/>
      <c r="AF36" s="1255"/>
      <c r="AG36" s="1255"/>
      <c r="AH36" s="1222"/>
      <c r="AI36" s="1222"/>
      <c r="AJ36" s="1256"/>
      <c r="AK36" s="1256"/>
      <c r="AL36" s="1257"/>
      <c r="AM36" s="1257"/>
      <c r="AN36" s="1215"/>
      <c r="AP36" s="1221"/>
    </row>
    <row r="37" spans="1:42" ht="32.25" customHeight="1" thickBot="1">
      <c r="A37" s="1215"/>
      <c r="B37" s="1217"/>
      <c r="C37" s="1220"/>
      <c r="D37" s="1220"/>
      <c r="E37" s="1220"/>
      <c r="F37" s="1220"/>
      <c r="G37" s="1220"/>
      <c r="H37" s="1220"/>
      <c r="I37" s="1220"/>
      <c r="J37" s="1220"/>
      <c r="K37" s="1220"/>
      <c r="L37" s="1220"/>
      <c r="M37" s="1220"/>
      <c r="N37" s="1220"/>
      <c r="O37" s="1220"/>
      <c r="P37" s="1220"/>
      <c r="Q37" s="1220"/>
      <c r="R37" s="1220"/>
      <c r="S37" s="1220"/>
      <c r="T37" s="1220"/>
      <c r="U37" s="1220"/>
      <c r="V37" s="1220"/>
      <c r="W37" s="1220"/>
      <c r="X37" s="1220"/>
      <c r="Y37" s="1220"/>
      <c r="Z37" s="1220"/>
      <c r="AA37" s="1214"/>
      <c r="AB37" s="1214"/>
      <c r="AC37" s="2276" t="inlineStr">
        <is>
          <t xml:space="preserve">CPI (Semanal)</t>
        </is>
      </c>
      <c r="AD37" s="2277"/>
      <c r="AE37" s="2277"/>
      <c r="AF37" s="2278">
        <f>IFERROR(AH35/AF35,0)</f>
        <v>0.13065956159795544</v>
      </c>
      <c r="AG37" s="2279"/>
      <c r="AH37" s="1222"/>
      <c r="AI37" s="2276" t="inlineStr">
        <is>
          <t xml:space="preserve">CPI (Total)</t>
        </is>
      </c>
      <c r="AJ37" s="2277"/>
      <c r="AK37" s="2277"/>
      <c r="AL37" s="2278">
        <f>IFERROR(AL35/AJ35,0)</f>
        <v>0.32564439778142601</v>
      </c>
      <c r="AM37" s="2279"/>
      <c r="AN37" s="1215"/>
      <c r="AP37" s="1221"/>
    </row>
    <row r="38" spans="1:42">
      <c r="A38" s="1215"/>
      <c r="B38" s="1217"/>
      <c r="C38" s="1220"/>
      <c r="D38" s="1220"/>
      <c r="E38" s="1220"/>
      <c r="F38" s="1220"/>
      <c r="G38" s="1220"/>
      <c r="H38" s="1220"/>
      <c r="I38" s="1220"/>
      <c r="J38" s="1220"/>
      <c r="K38" s="1220"/>
      <c r="L38" s="1220"/>
      <c r="M38" s="1220"/>
      <c r="N38" s="1220"/>
      <c r="O38" s="1220"/>
      <c r="P38" s="1220"/>
      <c r="Q38" s="1220"/>
      <c r="R38" s="1220"/>
      <c r="S38" s="1220"/>
      <c r="T38" s="1220"/>
      <c r="U38" s="1220"/>
      <c r="V38" s="1220"/>
      <c r="W38" s="1220"/>
      <c r="X38" s="1220"/>
      <c r="Y38" s="1220"/>
      <c r="Z38" s="1220"/>
      <c r="AA38" s="1214"/>
      <c r="AB38" s="1214"/>
      <c r="AN38" s="1215"/>
    </row>
    <row r="39" spans="1:42" ht="20.25">
      <c r="A39" s="1219"/>
      <c r="B39" s="1214"/>
      <c r="C39" s="1214"/>
      <c r="D39" s="1214"/>
      <c r="E39" s="1214"/>
      <c r="F39" s="1214"/>
      <c r="G39" s="1214"/>
      <c r="H39" s="1214"/>
      <c r="I39" s="1214"/>
      <c r="J39" s="1214"/>
      <c r="K39" s="1214"/>
      <c r="L39" s="1214"/>
      <c r="M39" s="1214"/>
      <c r="N39" s="1214"/>
      <c r="O39" s="1214"/>
      <c r="P39" s="1214"/>
      <c r="Q39" s="1214"/>
      <c r="R39" s="1214"/>
      <c r="S39" s="1214"/>
      <c r="T39" s="1214"/>
      <c r="U39" s="1214"/>
      <c r="V39" s="1214"/>
      <c r="W39" s="1214"/>
      <c r="X39" s="1214"/>
      <c r="Y39" s="1214"/>
      <c r="Z39" s="1214"/>
      <c r="AA39" s="1258"/>
      <c r="AB39" s="1214"/>
      <c r="AC39" s="1259" t="inlineStr">
        <is>
          <t xml:space="preserve">CUMPLIMIENTOS Y OBSERVACIONES</t>
        </is>
      </c>
      <c r="AD39" s="1260"/>
      <c r="AE39" s="1261"/>
      <c r="AF39" s="1261"/>
      <c r="AG39" s="1261"/>
      <c r="AH39" s="1261"/>
      <c r="AI39" s="1261"/>
      <c r="AJ39" s="1261"/>
      <c r="AK39" s="1261"/>
      <c r="AL39" s="1261"/>
      <c r="AM39" s="1261"/>
      <c r="AN39" s="1215"/>
    </row>
    <row r="40" spans="1:42">
      <c r="A40" s="1215"/>
      <c r="B40" s="1214"/>
      <c r="C40" s="1214"/>
      <c r="D40" s="1214"/>
      <c r="E40" s="1214"/>
      <c r="F40" s="1214"/>
      <c r="G40" s="1214"/>
      <c r="H40" s="1214"/>
      <c r="I40" s="1214"/>
      <c r="J40" s="1214"/>
      <c r="K40" s="1214"/>
      <c r="L40" s="1214"/>
      <c r="M40" s="1214"/>
      <c r="N40" s="1214"/>
      <c r="O40" s="1214"/>
      <c r="P40" s="1214"/>
      <c r="Q40" s="1214"/>
      <c r="R40" s="1214"/>
      <c r="S40" s="1214"/>
      <c r="T40" s="1214"/>
      <c r="U40" s="1214"/>
      <c r="V40" s="1214"/>
      <c r="W40" s="1214"/>
      <c r="X40" s="1214"/>
      <c r="Y40" s="1214"/>
      <c r="Z40" s="1214"/>
      <c r="AA40" s="1214"/>
      <c r="AB40" s="1214"/>
      <c r="AC40" s="2231" t="inlineStr">
        <is>
          <t xml:space="preserve">Desmontaje de válvulas de control (FCV-1715334/338/342) y de sensores/transmisores de flujo (FE/FIT); desmontaje de líneas inoperativas de 1"–1½" y de bomba 1760-PU-33104; demolición de 2 bases de concreto (0.38 de 1.28 m3) y retiro de bases de bombas; traslado de andamios de Cajamarca a Pampa Larga. Trazo y replanteo 60%, limpieza del área 50%.
Se retiro varias partidas de la diciplina electrica, formalmente mediante un correo.
Se tiene la indicación de reducir mas alcance, se emitió un correo respecto al tema, el cual sera tratado el dia lunes 17/08/2026.
El actual reporte ya no considera las partidas retiradas, asi mismo , se informa que para proceder a los trabajos, es necesario realizar la actividad de Desmontaje y Montaje de la linea de 3" con un rendimiento reducido a la mitad, mismo cambio que ya es reflejado en el actual reporte.</t>
        </is>
      </c>
      <c r="AD40" s="2232"/>
      <c r="AE40" s="2232"/>
      <c r="AF40" s="2232"/>
      <c r="AG40" s="2232"/>
      <c r="AH40" s="2232"/>
      <c r="AI40" s="2232"/>
      <c r="AJ40" s="2232"/>
      <c r="AK40" s="2232"/>
      <c r="AL40" s="2232"/>
      <c r="AM40" s="2233"/>
      <c r="AN40" s="1215"/>
    </row>
    <row r="41" spans="1:42">
      <c r="A41" s="1215"/>
      <c r="B41" s="1214"/>
      <c r="C41" s="1214"/>
      <c r="D41" s="1214"/>
      <c r="E41" s="1214"/>
      <c r="F41" s="1214"/>
      <c r="G41" s="1214"/>
      <c r="H41" s="1214"/>
      <c r="I41" s="1214"/>
      <c r="J41" s="1214"/>
      <c r="K41" s="1214"/>
      <c r="L41" s="1214"/>
      <c r="M41" s="1214"/>
      <c r="N41" s="1214"/>
      <c r="O41" s="1214"/>
      <c r="P41" s="1214"/>
      <c r="Q41" s="1214"/>
      <c r="R41" s="1214"/>
      <c r="S41" s="1214"/>
      <c r="T41" s="1214"/>
      <c r="U41" s="1214"/>
      <c r="V41" s="1214"/>
      <c r="W41" s="1214"/>
      <c r="X41" s="1214"/>
      <c r="Y41" s="1214"/>
      <c r="Z41" s="1214"/>
      <c r="AA41" s="1214"/>
      <c r="AB41" s="1214"/>
      <c r="AC41" s="2234"/>
      <c r="AD41" s="2235"/>
      <c r="AE41" s="2235"/>
      <c r="AF41" s="2235"/>
      <c r="AG41" s="2235"/>
      <c r="AH41" s="2235"/>
      <c r="AI41" s="2235"/>
      <c r="AJ41" s="2235"/>
      <c r="AK41" s="2235"/>
      <c r="AL41" s="2235"/>
      <c r="AM41" s="2236"/>
      <c r="AN41" s="1215"/>
    </row>
    <row r="42" spans="1:42">
      <c r="A42" s="1215"/>
      <c r="B42" s="1214"/>
      <c r="C42" s="1214"/>
      <c r="D42" s="1214"/>
      <c r="E42" s="1214"/>
      <c r="F42" s="1214"/>
      <c r="G42" s="1214"/>
      <c r="H42" s="1214"/>
      <c r="I42" s="1214"/>
      <c r="J42" s="1214"/>
      <c r="K42" s="1214"/>
      <c r="L42" s="1214"/>
      <c r="M42" s="1214"/>
      <c r="N42" s="1214"/>
      <c r="O42" s="1214"/>
      <c r="P42" s="1214"/>
      <c r="Q42" s="1214"/>
      <c r="R42" s="1214"/>
      <c r="S42" s="1214"/>
      <c r="T42" s="1214"/>
      <c r="U42" s="1214"/>
      <c r="V42" s="1214"/>
      <c r="W42" s="1214"/>
      <c r="X42" s="1214"/>
      <c r="Y42" s="1214"/>
      <c r="Z42" s="1214"/>
      <c r="AA42" s="1214"/>
      <c r="AB42" s="1214"/>
      <c r="AC42" s="2234"/>
      <c r="AD42" s="2235"/>
      <c r="AE42" s="2235"/>
      <c r="AF42" s="2235"/>
      <c r="AG42" s="2235"/>
      <c r="AH42" s="2235"/>
      <c r="AI42" s="2235"/>
      <c r="AJ42" s="2235"/>
      <c r="AK42" s="2235"/>
      <c r="AL42" s="2235"/>
      <c r="AM42" s="2236"/>
      <c r="AN42" s="1215"/>
    </row>
    <row r="43" spans="1:42">
      <c r="A43" s="1215"/>
      <c r="B43" s="1214"/>
      <c r="C43" s="1214"/>
      <c r="D43" s="1214"/>
      <c r="E43" s="1214"/>
      <c r="F43" s="1214"/>
      <c r="G43" s="1214"/>
      <c r="H43" s="1214"/>
      <c r="I43" s="1214"/>
      <c r="J43" s="1214"/>
      <c r="K43" s="1214"/>
      <c r="L43" s="1214"/>
      <c r="M43" s="1214"/>
      <c r="N43" s="1214"/>
      <c r="O43" s="1214"/>
      <c r="P43" s="1214"/>
      <c r="Q43" s="1214"/>
      <c r="R43" s="1214"/>
      <c r="S43" s="1214"/>
      <c r="T43" s="1214"/>
      <c r="U43" s="1214"/>
      <c r="V43" s="1214"/>
      <c r="W43" s="1214"/>
      <c r="X43" s="1214"/>
      <c r="Y43" s="1214"/>
      <c r="Z43" s="1214"/>
      <c r="AA43" s="1214"/>
      <c r="AB43" s="1214"/>
      <c r="AC43" s="2234"/>
      <c r="AD43" s="2235"/>
      <c r="AE43" s="2235"/>
      <c r="AF43" s="2235"/>
      <c r="AG43" s="2235"/>
      <c r="AH43" s="2235"/>
      <c r="AI43" s="2235"/>
      <c r="AJ43" s="2235"/>
      <c r="AK43" s="2235"/>
      <c r="AL43" s="2235"/>
      <c r="AM43" s="2236"/>
      <c r="AN43" s="1215"/>
    </row>
    <row r="44" spans="1:42">
      <c r="A44" s="1215"/>
      <c r="B44" s="1214"/>
      <c r="C44" s="1214"/>
      <c r="D44" s="1214"/>
      <c r="E44" s="1214"/>
      <c r="F44" s="1214"/>
      <c r="G44" s="1214"/>
      <c r="H44" s="1214"/>
      <c r="I44" s="1214"/>
      <c r="J44" s="1214"/>
      <c r="K44" s="1214"/>
      <c r="L44" s="1214"/>
      <c r="M44" s="1214"/>
      <c r="N44" s="1214"/>
      <c r="O44" s="1214"/>
      <c r="P44" s="1214"/>
      <c r="Q44" s="1214"/>
      <c r="R44" s="1214"/>
      <c r="S44" s="1214"/>
      <c r="T44" s="1214"/>
      <c r="U44" s="1214"/>
      <c r="V44" s="1214"/>
      <c r="W44" s="1214"/>
      <c r="X44" s="1214"/>
      <c r="Y44" s="1214"/>
      <c r="Z44" s="1214"/>
      <c r="AA44" s="1214"/>
      <c r="AB44" s="1214"/>
      <c r="AC44" s="2234"/>
      <c r="AD44" s="2235"/>
      <c r="AE44" s="2235"/>
      <c r="AF44" s="2235"/>
      <c r="AG44" s="2235"/>
      <c r="AH44" s="2235"/>
      <c r="AI44" s="2235"/>
      <c r="AJ44" s="2235"/>
      <c r="AK44" s="2235"/>
      <c r="AL44" s="2235"/>
      <c r="AM44" s="2236"/>
      <c r="AN44" s="1215"/>
    </row>
    <row r="45" spans="1:42">
      <c r="A45" s="1215"/>
      <c r="B45" s="1214"/>
      <c r="C45" s="1214"/>
      <c r="D45" s="1214"/>
      <c r="E45" s="1214"/>
      <c r="F45" s="1214"/>
      <c r="G45" s="1214"/>
      <c r="H45" s="1214"/>
      <c r="I45" s="1214"/>
      <c r="J45" s="1214"/>
      <c r="K45" s="1214"/>
      <c r="L45" s="1214"/>
      <c r="M45" s="1214"/>
      <c r="N45" s="1214"/>
      <c r="O45" s="1214"/>
      <c r="P45" s="1214"/>
      <c r="Q45" s="1214"/>
      <c r="R45" s="1214"/>
      <c r="S45" s="1214"/>
      <c r="T45" s="1214"/>
      <c r="U45" s="1214"/>
      <c r="V45" s="1214"/>
      <c r="W45" s="1214"/>
      <c r="X45" s="1214"/>
      <c r="Y45" s="1214"/>
      <c r="Z45" s="1214"/>
      <c r="AA45" s="1214"/>
      <c r="AB45" s="1214"/>
      <c r="AC45" s="2234"/>
      <c r="AD45" s="2235"/>
      <c r="AE45" s="2235"/>
      <c r="AF45" s="2235"/>
      <c r="AG45" s="2235"/>
      <c r="AH45" s="2235"/>
      <c r="AI45" s="2235"/>
      <c r="AJ45" s="2235"/>
      <c r="AK45" s="2235"/>
      <c r="AL45" s="2235"/>
      <c r="AM45" s="2236"/>
      <c r="AN45" s="1215"/>
    </row>
    <row r="46" spans="1:42">
      <c r="A46" s="1215"/>
      <c r="B46" s="1214"/>
      <c r="C46" s="1214"/>
      <c r="D46" s="1214"/>
      <c r="E46" s="1214"/>
      <c r="F46" s="1214"/>
      <c r="G46" s="1214"/>
      <c r="H46" s="1214"/>
      <c r="I46" s="1214"/>
      <c r="J46" s="1214"/>
      <c r="K46" s="1214"/>
      <c r="L46" s="1214"/>
      <c r="M46" s="1214"/>
      <c r="N46" s="1214"/>
      <c r="O46" s="1214"/>
      <c r="P46" s="1214"/>
      <c r="Q46" s="1214"/>
      <c r="R46" s="1214"/>
      <c r="S46" s="1214"/>
      <c r="T46" s="1214"/>
      <c r="U46" s="1214"/>
      <c r="V46" s="1214"/>
      <c r="W46" s="1214"/>
      <c r="X46" s="1214"/>
      <c r="Y46" s="1214"/>
      <c r="Z46" s="1214"/>
      <c r="AA46" s="1214"/>
      <c r="AB46" s="1214"/>
      <c r="AC46" s="2237"/>
      <c r="AD46" s="2235"/>
      <c r="AE46" s="2235"/>
      <c r="AF46" s="2235"/>
      <c r="AG46" s="2235"/>
      <c r="AH46" s="2235"/>
      <c r="AI46" s="2235"/>
      <c r="AJ46" s="2235"/>
      <c r="AK46" s="2235"/>
      <c r="AL46" s="2235"/>
      <c r="AM46" s="2236"/>
      <c r="AN46" s="1215"/>
    </row>
    <row r="47" spans="1:42" ht="173.25" customHeight="1">
      <c r="A47" s="1215"/>
      <c r="B47" s="1214"/>
      <c r="C47" s="1214"/>
      <c r="D47" s="1214"/>
      <c r="E47" s="1214"/>
      <c r="F47" s="1214"/>
      <c r="G47" s="1214"/>
      <c r="H47" s="1214"/>
      <c r="I47" s="1214"/>
      <c r="J47" s="1214"/>
      <c r="K47" s="1214"/>
      <c r="L47" s="1214"/>
      <c r="M47" s="1214"/>
      <c r="N47" s="1214"/>
      <c r="O47" s="1214"/>
      <c r="P47" s="1214"/>
      <c r="Q47" s="1214"/>
      <c r="R47" s="1214"/>
      <c r="S47" s="1214"/>
      <c r="T47" s="1214"/>
      <c r="U47" s="1214"/>
      <c r="V47" s="1214"/>
      <c r="W47" s="1214"/>
      <c r="X47" s="1214"/>
      <c r="Y47" s="1214"/>
      <c r="Z47" s="1214"/>
      <c r="AA47" s="1214"/>
      <c r="AB47" s="1214"/>
      <c r="AC47" s="2238"/>
      <c r="AD47" s="2239"/>
      <c r="AE47" s="2239"/>
      <c r="AF47" s="2239"/>
      <c r="AG47" s="2239"/>
      <c r="AH47" s="2239"/>
      <c r="AI47" s="2239"/>
      <c r="AJ47" s="2239"/>
      <c r="AK47" s="2239"/>
      <c r="AL47" s="2239"/>
      <c r="AM47" s="2240"/>
      <c r="AN47" s="1215"/>
    </row>
    <row r="48" spans="1:42" ht="18" customHeight="1">
      <c r="A48" s="1215"/>
      <c r="B48" s="1214"/>
      <c r="C48" s="1214"/>
      <c r="D48" s="1214"/>
      <c r="E48" s="1214"/>
      <c r="F48" s="1214"/>
      <c r="G48" s="1214"/>
      <c r="H48" s="1214"/>
      <c r="I48" s="1214"/>
      <c r="J48" s="1214"/>
      <c r="K48" s="1214"/>
      <c r="L48" s="1214"/>
      <c r="M48" s="1214"/>
      <c r="N48" s="1214"/>
      <c r="O48" s="1214"/>
      <c r="P48" s="1214"/>
      <c r="Q48" s="1214"/>
      <c r="R48" s="1214"/>
      <c r="S48" s="1214"/>
      <c r="T48" s="1214"/>
      <c r="U48" s="1214"/>
      <c r="V48" s="1214"/>
      <c r="W48" s="1214"/>
      <c r="X48" s="1214"/>
      <c r="Y48" s="1214"/>
      <c r="Z48" s="1214"/>
      <c r="AA48" s="1214"/>
      <c r="AB48" s="1214"/>
      <c r="AC48" s="1262"/>
      <c r="AD48" s="1217"/>
      <c r="AE48" s="1214"/>
      <c r="AF48" s="1214"/>
      <c r="AG48" s="1214"/>
      <c r="AH48" s="1214"/>
      <c r="AI48" s="1214"/>
      <c r="AJ48" s="1214"/>
      <c r="AK48" s="1214"/>
      <c r="AL48" s="1214"/>
      <c r="AM48" s="1214"/>
      <c r="AN48" s="1215"/>
    </row>
    <row r="49" spans="1:40" ht="20.25">
      <c r="A49" s="1215"/>
      <c r="B49" s="1214"/>
      <c r="C49" s="1214"/>
      <c r="D49" s="1214"/>
      <c r="E49" s="1214"/>
      <c r="F49" s="1214"/>
      <c r="G49" s="1214"/>
      <c r="H49" s="1214"/>
      <c r="I49" s="1214"/>
      <c r="J49" s="1214"/>
      <c r="K49" s="1214"/>
      <c r="L49" s="1214"/>
      <c r="M49" s="1214"/>
      <c r="N49" s="1214"/>
      <c r="O49" s="1214"/>
      <c r="P49" s="1214"/>
      <c r="Q49" s="1214"/>
      <c r="R49" s="1214"/>
      <c r="S49" s="1214"/>
      <c r="T49" s="1214"/>
      <c r="U49" s="1214"/>
      <c r="V49" s="1214"/>
      <c r="W49" s="1214"/>
      <c r="X49" s="1214"/>
      <c r="Y49" s="1214"/>
      <c r="Z49" s="1214"/>
      <c r="AA49" s="1214"/>
      <c r="AB49" s="1214"/>
      <c r="AC49" s="1218"/>
      <c r="AD49" s="1217"/>
      <c r="AE49" s="1214"/>
      <c r="AF49" s="1214"/>
      <c r="AG49" s="1214"/>
      <c r="AH49" s="1214"/>
      <c r="AI49" s="1214"/>
      <c r="AJ49" s="1214"/>
      <c r="AK49" s="1214"/>
      <c r="AL49" s="1214"/>
      <c r="AM49" s="1214"/>
      <c r="AN49" s="1215"/>
    </row>
    <row r="50" spans="1:40" ht="20.25">
      <c r="A50" s="1215"/>
      <c r="B50" s="1214"/>
      <c r="C50" s="1214"/>
      <c r="D50" s="1214"/>
      <c r="E50" s="1214"/>
      <c r="F50" s="1214"/>
      <c r="G50" s="1214"/>
      <c r="H50" s="1214"/>
      <c r="I50" s="1214"/>
      <c r="J50" s="1214"/>
      <c r="K50" s="1214"/>
      <c r="L50" s="1214"/>
      <c r="M50" s="1214"/>
      <c r="N50" s="1214"/>
      <c r="O50" s="1214"/>
      <c r="P50" s="1214"/>
      <c r="Q50" s="1214"/>
      <c r="R50" s="1214"/>
      <c r="S50" s="1214"/>
      <c r="T50" s="1214"/>
      <c r="U50" s="1214"/>
      <c r="V50" s="1214"/>
      <c r="W50" s="1214"/>
      <c r="X50" s="1214"/>
      <c r="Y50" s="1214"/>
      <c r="Z50" s="1214"/>
      <c r="AA50" s="1214"/>
      <c r="AB50" s="1214"/>
      <c r="AC50" s="1259" t="inlineStr">
        <is>
          <t xml:space="preserve">PROBLEMAS/RESTRICCIONES</t>
        </is>
      </c>
      <c r="AD50" s="1261"/>
      <c r="AE50" s="1261"/>
      <c r="AF50" s="1261"/>
      <c r="AG50" s="1261"/>
      <c r="AH50" s="1261"/>
      <c r="AI50" s="1261"/>
      <c r="AJ50" s="1261"/>
      <c r="AK50" s="1261"/>
      <c r="AL50" s="1261"/>
      <c r="AM50" s="1261"/>
      <c r="AN50" s="1215"/>
    </row>
    <row r="51" spans="1:40">
      <c r="A51" s="1215"/>
      <c r="B51" s="1214"/>
      <c r="C51" s="1214"/>
      <c r="D51" s="1214"/>
      <c r="E51" s="1214"/>
      <c r="F51" s="1214"/>
      <c r="G51" s="1214"/>
      <c r="H51" s="1214"/>
      <c r="I51" s="1214"/>
      <c r="J51" s="1214"/>
      <c r="K51" s="1214"/>
      <c r="L51" s="1214"/>
      <c r="M51" s="1214"/>
      <c r="N51" s="1214"/>
      <c r="O51" s="1214"/>
      <c r="P51" s="1214"/>
      <c r="Q51" s="1214"/>
      <c r="R51" s="1214"/>
      <c r="S51" s="1214"/>
      <c r="T51" s="1214"/>
      <c r="U51" s="1214"/>
      <c r="V51" s="1214"/>
      <c r="W51" s="1214"/>
      <c r="X51" s="1214"/>
      <c r="Y51" s="1214"/>
      <c r="Z51" s="1214"/>
      <c r="AA51" s="1214"/>
      <c r="AB51" s="1214"/>
      <c r="AC51" s="2241" t="inlineStr">
        <is>
          <t xml:space="preserve">Alerta roja por tormenta eléctrica el 12-ago (10:02–10:08) detuvo los trabajos en campo; camión grúa disponible solo 0.4 de turno (4 h) para los desmontajes.</t>
        </is>
      </c>
      <c r="AD51" s="2242"/>
      <c r="AE51" s="2242"/>
      <c r="AF51" s="2242"/>
      <c r="AG51" s="2242"/>
      <c r="AH51" s="2242"/>
      <c r="AI51" s="2242"/>
      <c r="AJ51" s="2242"/>
      <c r="AK51" s="2242"/>
      <c r="AL51" s="2242"/>
      <c r="AM51" s="2243"/>
      <c r="AN51" s="1215"/>
    </row>
    <row r="52" spans="1:40">
      <c r="A52" s="1215"/>
      <c r="B52" s="1214"/>
      <c r="C52" s="1214"/>
      <c r="D52" s="1214"/>
      <c r="E52" s="1214"/>
      <c r="F52" s="1214"/>
      <c r="G52" s="1214"/>
      <c r="H52" s="1214"/>
      <c r="I52" s="1214"/>
      <c r="J52" s="1214"/>
      <c r="K52" s="1214"/>
      <c r="L52" s="1214"/>
      <c r="M52" s="1214"/>
      <c r="N52" s="1214"/>
      <c r="O52" s="1214"/>
      <c r="P52" s="1214"/>
      <c r="Q52" s="1214"/>
      <c r="R52" s="1214"/>
      <c r="S52" s="1214"/>
      <c r="T52" s="1214"/>
      <c r="U52" s="1214"/>
      <c r="V52" s="1214"/>
      <c r="W52" s="1214"/>
      <c r="X52" s="1214"/>
      <c r="Y52" s="1214"/>
      <c r="Z52" s="1214"/>
      <c r="AA52" s="1214"/>
      <c r="AB52" s="1214"/>
      <c r="AC52" s="2244"/>
      <c r="AD52" s="2245"/>
      <c r="AE52" s="2245"/>
      <c r="AF52" s="2245"/>
      <c r="AG52" s="2245"/>
      <c r="AH52" s="2245"/>
      <c r="AI52" s="2245"/>
      <c r="AJ52" s="2245"/>
      <c r="AK52" s="2245"/>
      <c r="AL52" s="2245"/>
      <c r="AM52" s="2246"/>
      <c r="AN52" s="1215"/>
    </row>
    <row r="53" spans="1:40">
      <c r="A53" s="1215"/>
      <c r="B53" s="1214"/>
      <c r="C53" s="1214"/>
      <c r="D53" s="1214"/>
      <c r="E53" s="1214"/>
      <c r="F53" s="1214"/>
      <c r="G53" s="1214"/>
      <c r="H53" s="1214"/>
      <c r="I53" s="1214"/>
      <c r="J53" s="1214"/>
      <c r="K53" s="1214"/>
      <c r="L53" s="1214"/>
      <c r="M53" s="1214"/>
      <c r="N53" s="1214"/>
      <c r="O53" s="1214"/>
      <c r="P53" s="1214"/>
      <c r="Q53" s="1214"/>
      <c r="R53" s="1214"/>
      <c r="S53" s="1214"/>
      <c r="T53" s="1214"/>
      <c r="U53" s="1214"/>
      <c r="V53" s="1214"/>
      <c r="W53" s="1214"/>
      <c r="X53" s="1214"/>
      <c r="Y53" s="1214"/>
      <c r="Z53" s="1214"/>
      <c r="AA53" s="1214"/>
      <c r="AB53" s="1214"/>
      <c r="AC53" s="2244"/>
      <c r="AD53" s="2245"/>
      <c r="AE53" s="2245"/>
      <c r="AF53" s="2245"/>
      <c r="AG53" s="2245"/>
      <c r="AH53" s="2245"/>
      <c r="AI53" s="2245"/>
      <c r="AJ53" s="2245"/>
      <c r="AK53" s="2245"/>
      <c r="AL53" s="2245"/>
      <c r="AM53" s="2246"/>
      <c r="AN53" s="1215"/>
    </row>
    <row r="54" spans="1:40" ht="15" customHeight="1">
      <c r="A54" s="1215"/>
      <c r="B54" s="1214"/>
      <c r="C54" s="1214"/>
      <c r="D54" s="1214"/>
      <c r="E54" s="1214"/>
      <c r="F54" s="1214"/>
      <c r="G54" s="1214"/>
      <c r="H54" s="1214"/>
      <c r="I54" s="1214"/>
      <c r="J54" s="1214"/>
      <c r="K54" s="1214"/>
      <c r="L54" s="1214"/>
      <c r="M54" s="1214"/>
      <c r="N54" s="1214"/>
      <c r="O54" s="1214"/>
      <c r="P54" s="1214"/>
      <c r="Q54" s="1214"/>
      <c r="R54" s="1214"/>
      <c r="S54" s="1214"/>
      <c r="T54" s="1214"/>
      <c r="U54" s="1214"/>
      <c r="V54" s="1214"/>
      <c r="W54" s="1214"/>
      <c r="X54" s="1214"/>
      <c r="Y54" s="1214"/>
      <c r="Z54" s="1214"/>
      <c r="AA54" s="1214"/>
      <c r="AB54" s="1214"/>
      <c r="AC54" s="2247"/>
      <c r="AD54" s="2248"/>
      <c r="AE54" s="2248"/>
      <c r="AF54" s="2248"/>
      <c r="AG54" s="2248"/>
      <c r="AH54" s="2248"/>
      <c r="AI54" s="2248"/>
      <c r="AJ54" s="2248"/>
      <c r="AK54" s="2248"/>
      <c r="AL54" s="2248"/>
      <c r="AM54" s="2249"/>
      <c r="AN54" s="1215"/>
    </row>
    <row r="55" spans="1:40" ht="15" customHeight="1">
      <c r="A55" s="1215"/>
      <c r="B55" s="1214"/>
      <c r="C55" s="1214"/>
      <c r="D55" s="1214"/>
      <c r="E55" s="1214"/>
      <c r="F55" s="1214"/>
      <c r="G55" s="1214"/>
      <c r="H55" s="1214"/>
      <c r="I55" s="1214"/>
      <c r="J55" s="1214"/>
      <c r="K55" s="1214"/>
      <c r="L55" s="1214"/>
      <c r="M55" s="1214"/>
      <c r="N55" s="1214"/>
      <c r="O55" s="1214"/>
      <c r="P55" s="1214"/>
      <c r="Q55" s="1214"/>
      <c r="R55" s="1214"/>
      <c r="S55" s="1214"/>
      <c r="T55" s="1214"/>
      <c r="U55" s="1214"/>
      <c r="V55" s="1214"/>
      <c r="W55" s="1214"/>
      <c r="X55" s="1214"/>
      <c r="Y55" s="1214"/>
      <c r="Z55" s="1214"/>
      <c r="AA55" s="1214"/>
      <c r="AB55" s="1214"/>
      <c r="AN55" s="1215"/>
    </row>
    <row r="56" spans="1:40" ht="15" customHeight="1">
      <c r="A56" s="1215"/>
      <c r="B56" s="1217"/>
      <c r="C56" s="1263"/>
      <c r="D56" s="1263"/>
      <c r="E56" s="1263"/>
      <c r="F56" s="1263"/>
      <c r="G56" s="1263"/>
      <c r="H56" s="1263"/>
      <c r="I56" s="1263"/>
      <c r="J56" s="1263"/>
      <c r="K56" s="1263"/>
      <c r="L56" s="1263"/>
      <c r="M56" s="1263"/>
      <c r="N56" s="1263"/>
      <c r="O56" s="1263"/>
      <c r="P56" s="1263"/>
      <c r="Q56" s="1263"/>
      <c r="R56" s="1263"/>
      <c r="S56" s="1263"/>
      <c r="T56" s="1263"/>
      <c r="U56" s="1263"/>
      <c r="V56" s="1263"/>
      <c r="W56" s="1263"/>
      <c r="X56" s="1263"/>
      <c r="Y56" s="1263"/>
      <c r="Z56" s="1263"/>
      <c r="AA56" s="1214"/>
      <c r="AB56" s="1214"/>
      <c r="AC56" s="1214"/>
      <c r="AD56" s="1214"/>
      <c r="AE56" s="1214"/>
      <c r="AF56" s="1214"/>
      <c r="AG56" s="1214"/>
      <c r="AH56" s="1214"/>
      <c r="AI56" s="1214"/>
      <c r="AJ56" s="1214"/>
      <c r="AK56" s="1214"/>
      <c r="AL56" s="1214"/>
      <c r="AM56" s="1214"/>
      <c r="AN56" s="1215"/>
    </row>
    <row r="57" spans="1:40" ht="15" customHeight="1">
      <c r="A57" s="1215"/>
      <c r="B57" s="1217"/>
      <c r="C57" s="1263"/>
      <c r="D57" s="1263"/>
      <c r="E57" s="1263"/>
      <c r="F57" s="1263"/>
      <c r="G57" s="1263"/>
      <c r="H57" s="1263"/>
      <c r="I57" s="1263"/>
      <c r="J57" s="1263"/>
      <c r="K57" s="1263"/>
      <c r="L57" s="1263"/>
      <c r="M57" s="1263"/>
      <c r="N57" s="1263"/>
      <c r="O57" s="1263"/>
      <c r="P57" s="1263"/>
      <c r="Q57" s="1263"/>
      <c r="R57" s="1263"/>
      <c r="S57" s="1263"/>
      <c r="T57" s="1263"/>
      <c r="U57" s="1263"/>
      <c r="V57" s="1263"/>
      <c r="W57" s="1263"/>
      <c r="X57" s="1263"/>
      <c r="Y57" s="1263"/>
      <c r="Z57" s="1263"/>
      <c r="AA57" s="1214"/>
      <c r="AB57" s="1214"/>
      <c r="AN57" s="1215"/>
    </row>
    <row r="58" spans="1:40" ht="20.25" customHeight="1">
      <c r="A58" s="1215"/>
      <c r="B58" s="1217"/>
      <c r="C58" s="1264"/>
      <c r="D58" s="1264"/>
      <c r="E58" s="1264"/>
      <c r="F58" s="1264"/>
      <c r="G58" s="1264"/>
      <c r="H58" s="1264"/>
      <c r="I58" s="1264"/>
      <c r="J58" s="1264"/>
      <c r="K58" s="1264"/>
      <c r="L58" s="1264"/>
      <c r="M58" s="1264"/>
      <c r="N58" s="1264"/>
      <c r="O58" s="1264"/>
      <c r="P58" s="1264"/>
      <c r="Q58" s="1264"/>
      <c r="R58" s="1264"/>
      <c r="S58" s="1264"/>
      <c r="T58" s="1264"/>
      <c r="U58" s="1264"/>
      <c r="V58" s="1264"/>
      <c r="W58" s="1264"/>
      <c r="X58" s="1264"/>
      <c r="Y58" s="1264"/>
      <c r="Z58" s="1264"/>
      <c r="AA58" s="1265"/>
      <c r="AB58" s="1214"/>
      <c r="AC58" s="1259" t="inlineStr">
        <is>
          <t xml:space="preserve">RIESGOS / OPORTUNIDADES</t>
        </is>
      </c>
      <c r="AD58" s="1261"/>
      <c r="AE58" s="1261"/>
      <c r="AF58" s="1261"/>
      <c r="AG58" s="1261"/>
      <c r="AH58" s="1261"/>
      <c r="AI58" s="1261"/>
      <c r="AJ58" s="1261"/>
      <c r="AK58" s="1261"/>
      <c r="AL58" s="1261"/>
      <c r="AM58" s="1261"/>
      <c r="AN58" s="1215"/>
    </row>
    <row r="59" spans="1:40">
      <c r="A59" s="1215"/>
      <c r="B59" s="1217"/>
      <c r="C59" s="1264"/>
      <c r="D59" s="1264"/>
      <c r="E59" s="1264"/>
      <c r="F59" s="1264"/>
      <c r="G59" s="1264"/>
      <c r="H59" s="1264"/>
      <c r="I59" s="1264"/>
      <c r="J59" s="1264"/>
      <c r="K59" s="1264"/>
      <c r="L59" s="1264"/>
      <c r="M59" s="1264"/>
      <c r="N59" s="1264"/>
      <c r="O59" s="1264"/>
      <c r="P59" s="1264"/>
      <c r="Q59" s="1264"/>
      <c r="R59" s="1264"/>
      <c r="S59" s="1264"/>
      <c r="T59" s="1264"/>
      <c r="U59" s="1264"/>
      <c r="V59" s="1264"/>
      <c r="W59" s="1264"/>
      <c r="X59" s="1264"/>
      <c r="Y59" s="1264"/>
      <c r="Z59" s="1264"/>
      <c r="AA59" s="1265"/>
      <c r="AB59" s="1214"/>
      <c r="AC59" s="2241" t="inlineStr">
        <is>
          <t xml:space="preserve">Tormentas eléctricas recurrentes en la zona pueden reducir el rendimiento de los trabajos a la intemperie (demolición, desmontajes e izajes).</t>
        </is>
      </c>
      <c r="AD59" s="2250"/>
      <c r="AE59" s="2250"/>
      <c r="AF59" s="2250"/>
      <c r="AG59" s="2250"/>
      <c r="AH59" s="2250"/>
      <c r="AI59" s="2250"/>
      <c r="AJ59" s="2250"/>
      <c r="AK59" s="2250"/>
      <c r="AL59" s="2250"/>
      <c r="AM59" s="2251"/>
      <c r="AN59" s="1215"/>
    </row>
    <row r="60" spans="1:40">
      <c r="A60" s="1215"/>
      <c r="B60" s="1217"/>
      <c r="C60" s="1264"/>
      <c r="D60" s="1264"/>
      <c r="E60" s="1264"/>
      <c r="F60" s="1264"/>
      <c r="G60" s="1264"/>
      <c r="H60" s="1264"/>
      <c r="I60" s="1264"/>
      <c r="J60" s="1264"/>
      <c r="K60" s="1264"/>
      <c r="L60" s="1264"/>
      <c r="M60" s="1264"/>
      <c r="N60" s="1264"/>
      <c r="O60" s="1264"/>
      <c r="P60" s="1264"/>
      <c r="Q60" s="1264"/>
      <c r="R60" s="1264"/>
      <c r="S60" s="1264"/>
      <c r="T60" s="1264"/>
      <c r="U60" s="1264"/>
      <c r="V60" s="1264"/>
      <c r="W60" s="1264"/>
      <c r="X60" s="1264"/>
      <c r="Y60" s="1264"/>
      <c r="Z60" s="1264"/>
      <c r="AA60" s="1265"/>
      <c r="AB60" s="1214"/>
      <c r="AC60" s="2244"/>
      <c r="AD60" s="2252"/>
      <c r="AE60" s="2252"/>
      <c r="AF60" s="2252"/>
      <c r="AG60" s="2252"/>
      <c r="AH60" s="2252"/>
      <c r="AI60" s="2252"/>
      <c r="AJ60" s="2252"/>
      <c r="AK60" s="2252"/>
      <c r="AL60" s="2252"/>
      <c r="AM60" s="2253"/>
      <c r="AN60" s="1215"/>
    </row>
    <row r="61" spans="1:40">
      <c r="A61" s="1215"/>
      <c r="B61" s="1217"/>
      <c r="C61" s="1264"/>
      <c r="D61" s="1264"/>
      <c r="E61" s="1264"/>
      <c r="F61" s="1264"/>
      <c r="G61" s="1264"/>
      <c r="H61" s="1264"/>
      <c r="I61" s="1264"/>
      <c r="J61" s="1264"/>
      <c r="K61" s="1264"/>
      <c r="L61" s="1264"/>
      <c r="M61" s="1264"/>
      <c r="N61" s="1264"/>
      <c r="O61" s="1264"/>
      <c r="P61" s="1264"/>
      <c r="Q61" s="1264"/>
      <c r="R61" s="1264"/>
      <c r="S61" s="1264"/>
      <c r="T61" s="1264"/>
      <c r="U61" s="1264"/>
      <c r="V61" s="1264"/>
      <c r="W61" s="1264"/>
      <c r="X61" s="1264"/>
      <c r="Y61" s="1264"/>
      <c r="Z61" s="1264"/>
      <c r="AA61" s="1265"/>
      <c r="AB61" s="1214"/>
      <c r="AC61" s="2244"/>
      <c r="AD61" s="2252"/>
      <c r="AE61" s="2252"/>
      <c r="AF61" s="2252"/>
      <c r="AG61" s="2252"/>
      <c r="AH61" s="2252"/>
      <c r="AI61" s="2252"/>
      <c r="AJ61" s="2252"/>
      <c r="AK61" s="2252"/>
      <c r="AL61" s="2252"/>
      <c r="AM61" s="2253"/>
      <c r="AN61" s="1215"/>
    </row>
    <row r="62" spans="1:40">
      <c r="A62" s="1215"/>
      <c r="B62" s="1217"/>
      <c r="C62" s="1264"/>
      <c r="D62" s="1264"/>
      <c r="E62" s="1264"/>
      <c r="F62" s="1264"/>
      <c r="G62" s="1264"/>
      <c r="H62" s="1264"/>
      <c r="I62" s="1264"/>
      <c r="J62" s="1264"/>
      <c r="K62" s="1264"/>
      <c r="L62" s="1264"/>
      <c r="M62" s="1264"/>
      <c r="N62" s="1264"/>
      <c r="O62" s="1264"/>
      <c r="P62" s="1264"/>
      <c r="Q62" s="1264"/>
      <c r="R62" s="1264"/>
      <c r="S62" s="1264"/>
      <c r="T62" s="1264"/>
      <c r="U62" s="1264"/>
      <c r="V62" s="1264"/>
      <c r="W62" s="1264"/>
      <c r="X62" s="1264"/>
      <c r="Y62" s="1264"/>
      <c r="Z62" s="1264"/>
      <c r="AA62" s="1265"/>
      <c r="AB62" s="1214"/>
      <c r="AC62" s="2244"/>
      <c r="AD62" s="2252"/>
      <c r="AE62" s="2252"/>
      <c r="AF62" s="2252"/>
      <c r="AG62" s="2252"/>
      <c r="AH62" s="2252"/>
      <c r="AI62" s="2252"/>
      <c r="AJ62" s="2252"/>
      <c r="AK62" s="2252"/>
      <c r="AL62" s="2252"/>
      <c r="AM62" s="2253"/>
      <c r="AN62" s="1215"/>
    </row>
    <row r="63" spans="1:40">
      <c r="A63" s="1215"/>
      <c r="B63" s="1217"/>
      <c r="C63" s="1264"/>
      <c r="D63" s="1264"/>
      <c r="E63" s="1264"/>
      <c r="F63" s="1264"/>
      <c r="G63" s="1264"/>
      <c r="H63" s="1264"/>
      <c r="I63" s="1264"/>
      <c r="J63" s="1264"/>
      <c r="K63" s="1264"/>
      <c r="L63" s="1264"/>
      <c r="M63" s="1264"/>
      <c r="N63" s="1264"/>
      <c r="O63" s="1264"/>
      <c r="P63" s="1264"/>
      <c r="Q63" s="1264"/>
      <c r="R63" s="1264"/>
      <c r="S63" s="1264"/>
      <c r="T63" s="1264"/>
      <c r="U63" s="1264"/>
      <c r="V63" s="1264"/>
      <c r="W63" s="1264"/>
      <c r="X63" s="1264"/>
      <c r="Y63" s="1264"/>
      <c r="Z63" s="1264"/>
      <c r="AA63" s="1265"/>
      <c r="AB63" s="1214"/>
      <c r="AC63" s="2244"/>
      <c r="AD63" s="2252"/>
      <c r="AE63" s="2252"/>
      <c r="AF63" s="2252"/>
      <c r="AG63" s="2252"/>
      <c r="AH63" s="2252"/>
      <c r="AI63" s="2252"/>
      <c r="AJ63" s="2252"/>
      <c r="AK63" s="2252"/>
      <c r="AL63" s="2252"/>
      <c r="AM63" s="2253"/>
      <c r="AN63" s="1215"/>
    </row>
    <row r="64" spans="1:40">
      <c r="A64" s="1215"/>
      <c r="B64" s="1217"/>
      <c r="C64" s="1264"/>
      <c r="D64" s="1264"/>
      <c r="E64" s="1264"/>
      <c r="F64" s="1264"/>
      <c r="G64" s="1264"/>
      <c r="H64" s="1264"/>
      <c r="I64" s="1264"/>
      <c r="J64" s="1264"/>
      <c r="K64" s="1264"/>
      <c r="L64" s="1264"/>
      <c r="M64" s="1264"/>
      <c r="N64" s="1264"/>
      <c r="O64" s="1264"/>
      <c r="P64" s="1264"/>
      <c r="Q64" s="1264"/>
      <c r="R64" s="1264"/>
      <c r="S64" s="1264"/>
      <c r="T64" s="1264"/>
      <c r="U64" s="1264"/>
      <c r="V64" s="1264"/>
      <c r="W64" s="1264"/>
      <c r="X64" s="1264"/>
      <c r="Y64" s="1264"/>
      <c r="Z64" s="1264"/>
      <c r="AA64" s="1265"/>
      <c r="AB64" s="1214"/>
      <c r="AC64" s="2244"/>
      <c r="AD64" s="2252"/>
      <c r="AE64" s="2252"/>
      <c r="AF64" s="2252"/>
      <c r="AG64" s="2252"/>
      <c r="AH64" s="2252"/>
      <c r="AI64" s="2252"/>
      <c r="AJ64" s="2252"/>
      <c r="AK64" s="2252"/>
      <c r="AL64" s="2252"/>
      <c r="AM64" s="2253"/>
      <c r="AN64" s="1215"/>
    </row>
    <row r="65" spans="1:40">
      <c r="A65" s="1215"/>
      <c r="B65" s="1266"/>
      <c r="C65" s="1266"/>
      <c r="D65" s="1266"/>
      <c r="E65" s="1266"/>
      <c r="F65" s="1266"/>
      <c r="G65" s="1266"/>
      <c r="H65" s="1266"/>
      <c r="I65" s="1266"/>
      <c r="J65" s="1266"/>
      <c r="K65" s="1266"/>
      <c r="L65" s="1266"/>
      <c r="M65" s="1266"/>
      <c r="N65" s="1266"/>
      <c r="O65" s="1214"/>
      <c r="P65" s="1214"/>
      <c r="Q65" s="1214"/>
      <c r="R65" s="1214"/>
      <c r="S65" s="1214"/>
      <c r="T65" s="1214"/>
      <c r="U65" s="1214"/>
      <c r="V65" s="1214"/>
      <c r="W65" s="1214"/>
      <c r="X65" s="1214"/>
      <c r="Y65" s="1214"/>
      <c r="Z65" s="1214"/>
      <c r="AA65" s="1214"/>
      <c r="AB65" s="1214"/>
      <c r="AC65" s="2244"/>
      <c r="AD65" s="2252"/>
      <c r="AE65" s="2252"/>
      <c r="AF65" s="2252"/>
      <c r="AG65" s="2252"/>
      <c r="AH65" s="2252"/>
      <c r="AI65" s="2252"/>
      <c r="AJ65" s="2252"/>
      <c r="AK65" s="2252"/>
      <c r="AL65" s="2252"/>
      <c r="AM65" s="2253"/>
      <c r="AN65" s="1215"/>
    </row>
    <row r="66" spans="1:40">
      <c r="A66" s="1215"/>
      <c r="B66" s="1214"/>
      <c r="C66" s="1214"/>
      <c r="D66" s="1214"/>
      <c r="E66" s="1214"/>
      <c r="F66" s="1214"/>
      <c r="G66" s="1214"/>
      <c r="H66" s="1214"/>
      <c r="I66" s="1214"/>
      <c r="J66" s="1214"/>
      <c r="K66" s="1214"/>
      <c r="L66" s="1214"/>
      <c r="M66" s="1214"/>
      <c r="N66" s="1267"/>
      <c r="O66" s="1268"/>
      <c r="P66" s="1268"/>
      <c r="Q66" s="1215"/>
      <c r="R66" s="1215"/>
      <c r="S66" s="1214"/>
      <c r="T66" s="1214"/>
      <c r="U66" s="1214"/>
      <c r="V66" s="1214"/>
      <c r="W66" s="1214"/>
      <c r="X66" s="1214"/>
      <c r="Y66" s="1214"/>
      <c r="Z66" s="1214"/>
      <c r="AA66" s="1214"/>
      <c r="AB66" s="1214"/>
      <c r="AC66" s="2244"/>
      <c r="AD66" s="2252"/>
      <c r="AE66" s="2252"/>
      <c r="AF66" s="2252"/>
      <c r="AG66" s="2252"/>
      <c r="AH66" s="2252"/>
      <c r="AI66" s="2252"/>
      <c r="AJ66" s="2252"/>
      <c r="AK66" s="2252"/>
      <c r="AL66" s="2252"/>
      <c r="AM66" s="2253"/>
      <c r="AN66" s="1215"/>
    </row>
    <row r="67" spans="1:40">
      <c r="A67" s="1215"/>
      <c r="B67" s="1214"/>
      <c r="C67" s="1214"/>
      <c r="D67" s="1214"/>
      <c r="E67" s="1214"/>
      <c r="F67" s="1214"/>
      <c r="G67" s="1214"/>
      <c r="H67" s="1214"/>
      <c r="I67" s="1214"/>
      <c r="J67" s="1214"/>
      <c r="K67" s="1214"/>
      <c r="L67" s="1214"/>
      <c r="M67" s="1214"/>
      <c r="N67" s="1266"/>
      <c r="O67" s="1214"/>
      <c r="P67" s="1214"/>
      <c r="Q67" s="1214"/>
      <c r="R67" s="1214"/>
      <c r="S67" s="1214"/>
      <c r="T67" s="1214"/>
      <c r="U67" s="1214"/>
      <c r="V67" s="1214"/>
      <c r="W67" s="1214"/>
      <c r="X67" s="1214"/>
      <c r="Y67" s="1214"/>
      <c r="Z67" s="1214"/>
      <c r="AA67" s="1214"/>
      <c r="AB67" s="1214"/>
      <c r="AC67" s="2254"/>
      <c r="AD67" s="2255"/>
      <c r="AE67" s="2255"/>
      <c r="AF67" s="2255"/>
      <c r="AG67" s="2255"/>
      <c r="AH67" s="2255"/>
      <c r="AI67" s="2255"/>
      <c r="AJ67" s="2255"/>
      <c r="AK67" s="2255"/>
      <c r="AL67" s="2255"/>
      <c r="AM67" s="2256"/>
      <c r="AN67" s="1215"/>
    </row>
    <row r="68" spans="1:40">
      <c r="A68" s="1215"/>
      <c r="B68" s="1214"/>
      <c r="C68" s="1214"/>
      <c r="D68" s="1214"/>
      <c r="E68" s="1214"/>
      <c r="F68" s="1214"/>
      <c r="G68" s="1214"/>
      <c r="H68" s="1214"/>
      <c r="I68" s="1214"/>
      <c r="J68" s="1214"/>
      <c r="K68" s="1214"/>
      <c r="L68" s="1214"/>
      <c r="M68" s="1214"/>
      <c r="N68" s="1266"/>
      <c r="O68" s="1214"/>
      <c r="P68" s="1214"/>
      <c r="Q68" s="1214"/>
      <c r="R68" s="1214"/>
      <c r="S68" s="1214"/>
      <c r="T68" s="1214"/>
      <c r="U68" s="1214"/>
      <c r="V68" s="1214"/>
      <c r="W68" s="1214"/>
      <c r="X68" s="1214"/>
      <c r="Y68" s="1214"/>
      <c r="Z68" s="1214"/>
      <c r="AA68" s="1214"/>
      <c r="AB68" s="1214"/>
      <c r="AN68" s="1215"/>
    </row>
    <row r="69" spans="1:40">
      <c r="A69" s="1215"/>
      <c r="B69" s="1214"/>
      <c r="C69" s="1214"/>
      <c r="D69" s="1214"/>
      <c r="E69" s="1214"/>
      <c r="F69" s="1214"/>
      <c r="G69" s="1214"/>
      <c r="H69" s="1214"/>
      <c r="I69" s="1214"/>
      <c r="J69" s="1214"/>
      <c r="K69" s="1214"/>
      <c r="L69" s="1214"/>
      <c r="M69" s="1214"/>
      <c r="N69" s="1214"/>
      <c r="O69" s="1214"/>
      <c r="P69" s="1214"/>
      <c r="Q69" s="1214"/>
      <c r="R69" s="1214"/>
      <c r="S69" s="1214"/>
      <c r="T69" s="1214"/>
      <c r="U69" s="1214"/>
      <c r="V69" s="1214"/>
      <c r="W69" s="1214"/>
      <c r="X69" s="1214"/>
      <c r="Y69" s="1214"/>
      <c r="Z69" s="1214"/>
      <c r="AA69" s="1214"/>
      <c r="AB69" s="1214"/>
      <c r="AN69" s="1215"/>
    </row>
    <row r="70" spans="1:40" ht="20.25">
      <c r="A70" s="1215"/>
      <c r="B70" s="1214"/>
      <c r="C70" s="1214"/>
      <c r="D70" s="1214"/>
      <c r="E70" s="1214"/>
      <c r="F70" s="1214"/>
      <c r="G70" s="1214"/>
      <c r="H70" s="1214"/>
      <c r="I70" s="1214"/>
      <c r="J70" s="1214"/>
      <c r="K70" s="1214"/>
      <c r="L70" s="1214"/>
      <c r="M70" s="1214"/>
      <c r="N70" s="1214"/>
      <c r="O70" s="1214"/>
      <c r="P70" s="1214"/>
      <c r="Q70" s="1214"/>
      <c r="R70" s="1214"/>
      <c r="S70" s="1214"/>
      <c r="T70" s="1214"/>
      <c r="U70" s="1214"/>
      <c r="V70" s="1214"/>
      <c r="W70" s="1214"/>
      <c r="X70" s="1214"/>
      <c r="Y70" s="1214"/>
      <c r="Z70" s="1214"/>
      <c r="AA70" s="1214"/>
      <c r="AB70" s="1214"/>
      <c r="AC70" s="1259" t="inlineStr">
        <is>
          <t xml:space="preserve">PLAN DE MITIGACIÓN</t>
        </is>
      </c>
      <c r="AD70" s="1259"/>
      <c r="AE70" s="1259"/>
      <c r="AF70" s="1259"/>
      <c r="AG70" s="1259"/>
      <c r="AH70" s="1259"/>
      <c r="AI70" s="1259"/>
      <c r="AJ70" s="1259"/>
      <c r="AK70" s="1259"/>
      <c r="AL70" s="1259"/>
      <c r="AM70" s="1259"/>
      <c r="AN70" s="1215"/>
    </row>
    <row r="71" spans="1:40">
      <c r="A71" s="1215"/>
      <c r="B71" s="1214"/>
      <c r="C71" s="1214"/>
      <c r="D71" s="1214"/>
      <c r="E71" s="1214"/>
      <c r="F71" s="1214"/>
      <c r="G71" s="1214"/>
      <c r="H71" s="1214"/>
      <c r="I71" s="1214"/>
      <c r="J71" s="1214"/>
      <c r="K71" s="1214"/>
      <c r="L71" s="1214"/>
      <c r="M71" s="1214"/>
      <c r="N71" s="1214"/>
      <c r="O71" s="1214"/>
      <c r="P71" s="1214"/>
      <c r="Q71" s="1214"/>
      <c r="R71" s="1214"/>
      <c r="S71" s="1214"/>
      <c r="T71" s="1214"/>
      <c r="U71" s="1214"/>
      <c r="V71" s="1214"/>
      <c r="W71" s="1214"/>
      <c r="X71" s="1214"/>
      <c r="Y71" s="1214"/>
      <c r="Z71" s="1214"/>
      <c r="AA71" s="1214"/>
      <c r="AB71" s="1214"/>
      <c r="AC71" s="2241" t="inlineStr">
        <is>
          <t xml:space="preserve">Programar izajes y vaciados en ventanas de la mañana; aplicar refugio y pausas por alerta roja según estándar MY; asegurar disponibilidad del camión grúa para los desmontajes de la próxima semana.</t>
        </is>
      </c>
      <c r="AD71" s="2257"/>
      <c r="AE71" s="2257"/>
      <c r="AF71" s="2257"/>
      <c r="AG71" s="2257"/>
      <c r="AH71" s="2257"/>
      <c r="AI71" s="2257"/>
      <c r="AJ71" s="2257"/>
      <c r="AK71" s="2257"/>
      <c r="AL71" s="2257"/>
      <c r="AM71" s="2258"/>
      <c r="AN71" s="1215"/>
    </row>
    <row r="72" spans="1:40" ht="15" customHeight="1">
      <c r="A72" s="1215"/>
      <c r="B72" s="1214"/>
      <c r="C72" s="1214"/>
      <c r="D72" s="1214"/>
      <c r="E72" s="1214"/>
      <c r="F72" s="1214"/>
      <c r="G72" s="1214"/>
      <c r="H72" s="1214"/>
      <c r="I72" s="1214"/>
      <c r="J72" s="1214"/>
      <c r="K72" s="1214"/>
      <c r="L72" s="1214"/>
      <c r="M72" s="1214"/>
      <c r="N72" s="1214"/>
      <c r="O72" s="1214"/>
      <c r="P72" s="1214"/>
      <c r="Q72" s="1214"/>
      <c r="R72" s="1214"/>
      <c r="S72" s="1214"/>
      <c r="T72" s="1214"/>
      <c r="U72" s="1214"/>
      <c r="V72" s="1214"/>
      <c r="W72" s="1214"/>
      <c r="X72" s="1214"/>
      <c r="Y72" s="1214"/>
      <c r="Z72" s="1214"/>
      <c r="AA72" s="1214"/>
      <c r="AB72" s="1214"/>
      <c r="AC72" s="2259"/>
      <c r="AD72" s="2260"/>
      <c r="AE72" s="2260"/>
      <c r="AF72" s="2260"/>
      <c r="AG72" s="2260"/>
      <c r="AH72" s="2260"/>
      <c r="AI72" s="2260"/>
      <c r="AJ72" s="2260"/>
      <c r="AK72" s="2260"/>
      <c r="AL72" s="2260"/>
      <c r="AM72" s="2261"/>
      <c r="AN72" s="1215"/>
    </row>
    <row r="73" spans="1:40" ht="15.75" customHeight="1">
      <c r="A73" s="1215"/>
      <c r="B73" s="2265" t="inlineStr">
        <is>
          <t xml:space="preserve">ESTADÍSTICAS DE RESPONSABILIDAD SOCIAL</t>
        </is>
      </c>
      <c r="C73" s="2265"/>
      <c r="D73" s="2265"/>
      <c r="E73" s="2265"/>
      <c r="F73" s="2265"/>
      <c r="G73" s="2265"/>
      <c r="H73" s="2265"/>
      <c r="I73" s="2265"/>
      <c r="J73" s="2265"/>
      <c r="K73" s="2265"/>
      <c r="L73" s="2265"/>
      <c r="M73" s="2265"/>
      <c r="N73" s="1214"/>
      <c r="O73" s="1214"/>
      <c r="P73" s="1214"/>
      <c r="Q73" s="1214"/>
      <c r="R73" s="1214"/>
      <c r="S73" s="1214"/>
      <c r="T73" s="1214"/>
      <c r="U73" s="1214"/>
      <c r="V73" s="1214"/>
      <c r="W73" s="1214"/>
      <c r="X73" s="1214"/>
      <c r="Y73" s="1214"/>
      <c r="Z73" s="1214"/>
      <c r="AA73" s="1214"/>
      <c r="AB73" s="1214"/>
      <c r="AC73" s="2259"/>
      <c r="AD73" s="2260"/>
      <c r="AE73" s="2260"/>
      <c r="AF73" s="2260"/>
      <c r="AG73" s="2260"/>
      <c r="AH73" s="2260"/>
      <c r="AI73" s="2260"/>
      <c r="AJ73" s="2260"/>
      <c r="AK73" s="2260"/>
      <c r="AL73" s="2260"/>
      <c r="AM73" s="2261"/>
      <c r="AN73" s="1215"/>
    </row>
    <row r="74" spans="1:40" ht="15" customHeight="1">
      <c r="A74" s="1215"/>
      <c r="B74" s="2266"/>
      <c r="C74" s="2266"/>
      <c r="D74" s="2266"/>
      <c r="E74" s="2266"/>
      <c r="F74" s="2266"/>
      <c r="G74" s="2266"/>
      <c r="H74" s="2266"/>
      <c r="I74" s="2266"/>
      <c r="J74" s="2266"/>
      <c r="K74" s="2266"/>
      <c r="L74" s="2266"/>
      <c r="M74" s="2266"/>
      <c r="N74" s="1214"/>
      <c r="O74" s="1214"/>
      <c r="P74" s="1214"/>
      <c r="Q74" s="1214"/>
      <c r="R74" s="1214"/>
      <c r="S74" s="1214"/>
      <c r="T74" s="1214"/>
      <c r="U74" s="1214"/>
      <c r="V74" s="1214"/>
      <c r="W74" s="1214"/>
      <c r="X74" s="1214"/>
      <c r="Y74" s="1214"/>
      <c r="Z74" s="1214"/>
      <c r="AA74" s="1214"/>
      <c r="AB74" s="1214"/>
      <c r="AC74" s="2259"/>
      <c r="AD74" s="2260"/>
      <c r="AE74" s="2260"/>
      <c r="AF74" s="2260"/>
      <c r="AG74" s="2260"/>
      <c r="AH74" s="2260"/>
      <c r="AI74" s="2260"/>
      <c r="AJ74" s="2260"/>
      <c r="AK74" s="2260"/>
      <c r="AL74" s="2260"/>
      <c r="AM74" s="2261"/>
      <c r="AN74" s="1215"/>
    </row>
    <row r="75" spans="1:40" ht="15" customHeight="1">
      <c r="A75" s="1215"/>
      <c r="B75" s="1269"/>
      <c r="C75" s="1269"/>
      <c r="D75" s="1270"/>
      <c r="E75" s="1271"/>
      <c r="F75" s="1269"/>
      <c r="G75" s="1269"/>
      <c r="H75" s="1272"/>
      <c r="I75" s="1271"/>
      <c r="J75" s="1269"/>
      <c r="K75" s="1266"/>
      <c r="L75" s="1270"/>
      <c r="M75" s="1271"/>
      <c r="N75" s="1214"/>
      <c r="O75" s="1214"/>
      <c r="P75" s="1214"/>
      <c r="Q75" s="1214"/>
      <c r="R75" s="1214"/>
      <c r="S75" s="1214"/>
      <c r="T75" s="1214"/>
      <c r="U75" s="1214"/>
      <c r="V75" s="1214"/>
      <c r="W75" s="1214"/>
      <c r="X75" s="1214"/>
      <c r="Y75" s="1214"/>
      <c r="Z75" s="1214"/>
      <c r="AA75" s="1214"/>
      <c r="AB75" s="1214"/>
      <c r="AC75" s="2259"/>
      <c r="AD75" s="2260"/>
      <c r="AE75" s="2260"/>
      <c r="AF75" s="2260"/>
      <c r="AG75" s="2260"/>
      <c r="AH75" s="2260"/>
      <c r="AI75" s="2260"/>
      <c r="AJ75" s="2260"/>
      <c r="AK75" s="2260"/>
      <c r="AL75" s="2260"/>
      <c r="AM75" s="2261"/>
      <c r="AN75" s="1215"/>
    </row>
    <row r="76" spans="1:40" ht="15" customHeight="1">
      <c r="A76" s="1215"/>
      <c r="B76" s="1269"/>
      <c r="C76" s="1269"/>
      <c r="D76" s="1270"/>
      <c r="E76" s="1271"/>
      <c r="F76" s="1269"/>
      <c r="G76" s="1269"/>
      <c r="H76" s="1273"/>
      <c r="I76" s="1271"/>
      <c r="J76" s="1269"/>
      <c r="K76" s="1266"/>
      <c r="L76" s="1274"/>
      <c r="M76" s="1271"/>
      <c r="N76" s="1214"/>
      <c r="O76" s="1214"/>
      <c r="P76" s="1214"/>
      <c r="Q76" s="1214"/>
      <c r="R76" s="1214"/>
      <c r="S76" s="1214"/>
      <c r="T76" s="1214"/>
      <c r="U76" s="1214"/>
      <c r="V76" s="1214"/>
      <c r="W76" s="1214"/>
      <c r="X76" s="1214"/>
      <c r="Y76" s="1214"/>
      <c r="Z76" s="1214"/>
      <c r="AA76" s="1214"/>
      <c r="AB76" s="1214"/>
      <c r="AC76" s="2259"/>
      <c r="AD76" s="2260"/>
      <c r="AE76" s="2260"/>
      <c r="AF76" s="2260"/>
      <c r="AG76" s="2260"/>
      <c r="AH76" s="2260"/>
      <c r="AI76" s="2260"/>
      <c r="AJ76" s="2260"/>
      <c r="AK76" s="2260"/>
      <c r="AL76" s="2260"/>
      <c r="AM76" s="2261"/>
      <c r="AN76" s="1215"/>
    </row>
    <row r="77" spans="1:40" ht="18" customHeight="1">
      <c r="A77" s="1215"/>
      <c r="B77" s="1266"/>
      <c r="C77" s="1275"/>
      <c r="D77" s="1270"/>
      <c r="E77" s="1271"/>
      <c r="F77" s="1269"/>
      <c r="G77" s="1266"/>
      <c r="H77" s="1274"/>
      <c r="I77" s="1271"/>
      <c r="J77" s="1269"/>
      <c r="K77" s="1266"/>
      <c r="L77" s="1274"/>
      <c r="M77" s="1271"/>
      <c r="N77" s="1263"/>
      <c r="O77" s="1263"/>
      <c r="P77" s="1263"/>
      <c r="Q77" s="1263"/>
      <c r="R77" s="1263"/>
      <c r="S77" s="1263"/>
      <c r="T77" s="1263"/>
      <c r="U77" s="1263"/>
      <c r="V77" s="1263"/>
      <c r="W77" s="1263"/>
      <c r="X77" s="1263"/>
      <c r="Y77" s="1263"/>
      <c r="Z77" s="1263"/>
      <c r="AA77" s="1263"/>
      <c r="AB77" s="1214"/>
      <c r="AC77" s="2259"/>
      <c r="AD77" s="2260"/>
      <c r="AE77" s="2260"/>
      <c r="AF77" s="2260"/>
      <c r="AG77" s="2260"/>
      <c r="AH77" s="2260"/>
      <c r="AI77" s="2260"/>
      <c r="AJ77" s="2260"/>
      <c r="AK77" s="2260"/>
      <c r="AL77" s="2260"/>
      <c r="AM77" s="2261"/>
      <c r="AN77" s="1215"/>
    </row>
    <row r="78" spans="1:40">
      <c r="A78" s="1215"/>
      <c r="B78" s="1266"/>
      <c r="C78" s="1266"/>
      <c r="D78" s="1266"/>
      <c r="E78" s="1266"/>
      <c r="F78" s="1266"/>
      <c r="G78" s="1266"/>
      <c r="H78" s="1266"/>
      <c r="I78" s="1266"/>
      <c r="J78" s="1266"/>
      <c r="K78" s="1266"/>
      <c r="L78" s="1266"/>
      <c r="M78" s="1266"/>
      <c r="N78" s="1263"/>
      <c r="O78" s="1263"/>
      <c r="P78" s="1263"/>
      <c r="Q78" s="1263"/>
      <c r="R78" s="1263"/>
      <c r="S78" s="1263"/>
      <c r="T78" s="1263"/>
      <c r="U78" s="1263"/>
      <c r="V78" s="1263"/>
      <c r="W78" s="1263"/>
      <c r="X78" s="1263"/>
      <c r="Y78" s="1263"/>
      <c r="Z78" s="1263"/>
      <c r="AA78" s="1214"/>
      <c r="AB78" s="1276"/>
      <c r="AC78" s="2259"/>
      <c r="AD78" s="2260"/>
      <c r="AE78" s="2260"/>
      <c r="AF78" s="2260"/>
      <c r="AG78" s="2260"/>
      <c r="AH78" s="2260"/>
      <c r="AI78" s="2260"/>
      <c r="AJ78" s="2260"/>
      <c r="AK78" s="2260"/>
      <c r="AL78" s="2260"/>
      <c r="AM78" s="2261"/>
      <c r="AN78" s="1215"/>
    </row>
    <row r="79" spans="1:40">
      <c r="A79" s="1215"/>
      <c r="B79" s="2267"/>
      <c r="C79" s="2267"/>
      <c r="D79" s="2267"/>
      <c r="E79" s="2267"/>
      <c r="F79" s="2267"/>
      <c r="G79" s="2267"/>
      <c r="H79" s="2267"/>
      <c r="I79" s="2267"/>
      <c r="J79" s="2267"/>
      <c r="K79" s="2267"/>
      <c r="L79" s="2267"/>
      <c r="M79" s="2267"/>
      <c r="N79" s="1264"/>
      <c r="O79" s="1264"/>
      <c r="P79" s="1264"/>
      <c r="Q79" s="1264"/>
      <c r="R79" s="1264"/>
      <c r="S79" s="1264"/>
      <c r="T79" s="1264"/>
      <c r="U79" s="1264"/>
      <c r="V79" s="1264"/>
      <c r="W79" s="1264"/>
      <c r="X79" s="1264"/>
      <c r="Y79" s="1264"/>
      <c r="Z79" s="1264"/>
      <c r="AA79" s="1265"/>
      <c r="AB79" s="1276"/>
      <c r="AC79" s="2262"/>
      <c r="AD79" s="2263"/>
      <c r="AE79" s="2263"/>
      <c r="AF79" s="2263"/>
      <c r="AG79" s="2263"/>
      <c r="AH79" s="2263"/>
      <c r="AI79" s="2263"/>
      <c r="AJ79" s="2263"/>
      <c r="AK79" s="2263"/>
      <c r="AL79" s="2263"/>
      <c r="AM79" s="2264"/>
      <c r="AN79" s="1215"/>
    </row>
    <row r="80" spans="1:40">
      <c r="A80" s="1215"/>
      <c r="B80" s="1277"/>
      <c r="C80" s="1277"/>
      <c r="D80" s="1278"/>
      <c r="E80" s="1279"/>
      <c r="F80" s="1277"/>
      <c r="G80" s="1277"/>
      <c r="H80" s="1280"/>
      <c r="I80" s="1279"/>
      <c r="J80" s="1277"/>
      <c r="K80" s="1215"/>
      <c r="L80" s="1281"/>
      <c r="M80" s="1279"/>
      <c r="N80" s="1214"/>
      <c r="O80" s="1214"/>
      <c r="P80" s="1214"/>
      <c r="Q80" s="1214"/>
      <c r="R80" s="1214"/>
      <c r="S80" s="1214"/>
      <c r="T80" s="1214"/>
      <c r="U80" s="1214"/>
      <c r="V80" s="1214"/>
      <c r="W80" s="1214"/>
      <c r="X80" s="1214"/>
      <c r="Y80" s="1214"/>
      <c r="Z80" s="1214"/>
      <c r="AA80" s="1214"/>
      <c r="AB80" s="1214"/>
      <c r="AN80" s="1215"/>
    </row>
    <row r="81" spans="1:40">
      <c r="A81" s="1215"/>
      <c r="B81" s="1277"/>
      <c r="C81" s="1277"/>
      <c r="D81" s="1278"/>
      <c r="E81" s="1279"/>
      <c r="F81" s="1277"/>
      <c r="G81" s="1277"/>
      <c r="H81" s="1280"/>
      <c r="I81" s="1279"/>
      <c r="J81" s="1277"/>
      <c r="K81" s="1215"/>
      <c r="L81" s="1281"/>
      <c r="M81" s="1279"/>
      <c r="N81" s="1214"/>
      <c r="O81" s="1214"/>
      <c r="P81" s="1214"/>
      <c r="Q81" s="1214"/>
      <c r="R81" s="1214"/>
      <c r="S81" s="1214"/>
      <c r="T81" s="1214"/>
      <c r="U81" s="1214"/>
      <c r="V81" s="1214"/>
      <c r="W81" s="1214"/>
      <c r="X81" s="1214"/>
      <c r="Y81" s="1214"/>
      <c r="Z81" s="1214"/>
      <c r="AA81" s="1214"/>
      <c r="AB81" s="1214"/>
      <c r="AN81" s="1215"/>
    </row>
    <row r="82" spans="1:40" ht="20.25">
      <c r="A82" s="1215"/>
      <c r="B82" s="1214"/>
      <c r="C82" s="1282"/>
      <c r="D82" s="1270"/>
      <c r="E82" s="1271"/>
      <c r="F82" s="1269"/>
      <c r="G82" s="1214"/>
      <c r="H82" s="1270"/>
      <c r="I82" s="1271"/>
      <c r="J82" s="1269"/>
      <c r="K82" s="1214"/>
      <c r="L82" s="1270"/>
      <c r="M82" s="1271"/>
      <c r="N82" s="1214"/>
      <c r="O82" s="1214"/>
      <c r="P82" s="1214"/>
      <c r="Q82" s="1214"/>
      <c r="R82" s="1214"/>
      <c r="S82" s="1214"/>
      <c r="T82" s="1214"/>
      <c r="U82" s="1214"/>
      <c r="V82" s="1214"/>
      <c r="W82" s="1214"/>
      <c r="X82" s="1214"/>
      <c r="Y82" s="1214"/>
      <c r="Z82" s="1214"/>
      <c r="AA82" s="1214"/>
      <c r="AB82" s="1214"/>
      <c r="AF82" s="1283"/>
      <c r="AG82" s="1283"/>
      <c r="AH82" s="1283"/>
      <c r="AI82" s="1283"/>
      <c r="AJ82" s="1283"/>
      <c r="AK82" s="1283"/>
      <c r="AL82" s="1283"/>
      <c r="AM82" s="1283"/>
      <c r="AN82" s="1215"/>
    </row>
    <row r="83" spans="1:40" ht="15.75" customHeight="1">
      <c r="A83" s="1215"/>
      <c r="B83" s="1214"/>
      <c r="C83" s="1214"/>
      <c r="D83" s="1214"/>
      <c r="E83" s="1214"/>
      <c r="F83" s="1214"/>
      <c r="G83" s="1214"/>
      <c r="H83" s="1214"/>
      <c r="I83" s="1214"/>
      <c r="J83" s="1214"/>
      <c r="K83" s="1214"/>
      <c r="L83" s="1214"/>
      <c r="M83" s="1214"/>
      <c r="N83" s="1214"/>
      <c r="O83" s="1217"/>
      <c r="P83" s="1214"/>
      <c r="Q83" s="1214"/>
      <c r="R83" s="1214"/>
      <c r="S83" s="1214"/>
      <c r="T83" s="1214"/>
      <c r="U83" s="1214"/>
      <c r="V83" s="1214"/>
      <c r="W83" s="1214"/>
      <c r="AA83" s="1284"/>
      <c r="AB83" s="1214"/>
      <c r="AF83" s="1285"/>
      <c r="AG83" s="1285"/>
      <c r="AH83" s="1285"/>
      <c r="AI83" s="1285"/>
      <c r="AJ83" s="1285"/>
      <c r="AK83" s="1285"/>
      <c r="AL83" s="1285"/>
      <c r="AM83" s="1285"/>
      <c r="AN83" s="1215"/>
    </row>
    <row r="84" spans="1:40" ht="15.75" customHeight="1">
      <c r="A84" s="1215"/>
      <c r="B84" s="1214"/>
      <c r="O84" s="1214"/>
      <c r="P84" s="1214"/>
      <c r="Q84" s="1214"/>
      <c r="R84" s="1214"/>
      <c r="S84" s="1214"/>
      <c r="T84" s="1214"/>
      <c r="U84" s="1214"/>
      <c r="V84" s="1214"/>
      <c r="W84" s="1214"/>
      <c r="AA84" s="1286"/>
      <c r="AB84" s="1214"/>
      <c r="AC84" s="1217" t="inlineStr">
        <is>
          <t xml:space="preserve">CONTRATO: </t>
        </is>
      </c>
      <c r="AD84" s="1214" t="inlineStr">
        <is>
          <t xml:space="preserve">CW156993 — WO003</t>
        </is>
      </c>
      <c r="AE84" s="1215"/>
      <c r="AF84" s="1285"/>
      <c r="AG84" s="1285"/>
      <c r="AH84" s="1285"/>
      <c r="AI84" s="1285"/>
      <c r="AJ84" s="1285"/>
      <c r="AK84" s="1285"/>
      <c r="AL84" s="1285"/>
      <c r="AM84" s="1285"/>
    </row>
    <row r="85" spans="1:40" ht="15" customHeight="1">
      <c r="A85" s="1215"/>
      <c r="B85" s="1214"/>
      <c r="O85" s="1214"/>
      <c r="P85" s="1214"/>
      <c r="Q85" s="1214"/>
      <c r="R85" s="1214"/>
      <c r="S85" s="1214"/>
      <c r="T85" s="1214"/>
      <c r="U85" s="1214"/>
      <c r="V85" s="1214"/>
      <c r="W85" s="1214"/>
      <c r="AA85" s="1217"/>
      <c r="AB85" s="1214"/>
      <c r="AC85" s="1217" t="inlineStr">
        <is>
          <t xml:space="preserve">CONTRATISTA:  </t>
        </is>
      </c>
      <c r="AD85" s="1214"/>
      <c r="AE85" s="1287" t="inlineStr">
        <is>
          <t xml:space="preserve">CONSORCIO CPQ COLUMBITO</t>
        </is>
      </c>
      <c r="AF85" s="1285"/>
      <c r="AG85" s="1285"/>
      <c r="AH85" s="1285"/>
      <c r="AI85" s="1285"/>
      <c r="AJ85" s="1285"/>
      <c r="AK85" s="1285"/>
      <c r="AL85" s="1285"/>
      <c r="AM85" s="1285"/>
    </row>
    <row r="86" spans="1:40" ht="15.75" customHeight="1">
      <c r="A86" s="1215"/>
      <c r="B86" s="1214"/>
      <c r="O86" s="1214"/>
      <c r="P86" s="1214"/>
      <c r="Q86" s="1214"/>
      <c r="R86" s="1214"/>
      <c r="S86" s="1214"/>
      <c r="T86" s="1214"/>
      <c r="U86" s="1214"/>
      <c r="V86" s="1214"/>
      <c r="W86" s="1214"/>
      <c r="AA86" s="1288"/>
      <c r="AB86" s="1214"/>
      <c r="AC86" s="1217" t="inlineStr">
        <is>
          <t xml:space="preserve">PROYECTO:</t>
        </is>
      </c>
      <c r="AD86" s="1214"/>
      <c r="AE86" s="1215" t="str">
        <f>PROGRAMACION!D5</f>
        <v>REPOSICION DEL SISTEMA DE FLOCULANTES — LB0</v>
      </c>
      <c r="AF86" s="1285"/>
      <c r="AG86" s="1285"/>
      <c r="AH86" s="1285"/>
      <c r="AI86" s="1285"/>
      <c r="AJ86" s="1285"/>
      <c r="AK86" s="1285"/>
      <c r="AL86" s="1285"/>
      <c r="AM86" s="1285"/>
    </row>
    <row r="87" spans="1:40" ht="18" customHeight="1">
      <c r="A87" s="1215"/>
      <c r="B87" s="1214"/>
      <c r="O87" s="1214"/>
      <c r="P87" s="1214"/>
      <c r="Q87" s="1214"/>
      <c r="R87" s="1214"/>
      <c r="S87" s="1214"/>
      <c r="T87" s="1214"/>
      <c r="U87" s="1214"/>
      <c r="V87" s="1214"/>
      <c r="W87" s="1214"/>
      <c r="X87" s="1214"/>
      <c r="Y87" s="1214"/>
      <c r="Z87" s="1214"/>
      <c r="AA87" s="1214"/>
      <c r="AB87" s="1214"/>
      <c r="AC87" s="1217" t="inlineStr">
        <is>
          <t xml:space="preserve">ACTUALIZACIÓN: </t>
        </is>
      </c>
      <c r="AD87" s="1214"/>
      <c r="AE87" s="1289">
        <f>'Carátula (P)'!C17</f>
        <v>34</v>
      </c>
      <c r="AF87" s="1285"/>
      <c r="AG87" s="1285"/>
      <c r="AH87" s="1285"/>
      <c r="AI87" s="1285"/>
      <c r="AJ87" s="1285"/>
      <c r="AK87" s="1285"/>
      <c r="AL87" s="1285"/>
      <c r="AM87" s="1285"/>
    </row>
    <row r="88" spans="1:40" ht="18" customHeight="1">
      <c r="A88" s="1215"/>
      <c r="B88" s="1214"/>
      <c r="O88" s="1214"/>
      <c r="P88" s="1214"/>
      <c r="Q88" s="1214"/>
      <c r="R88" s="1214"/>
      <c r="S88" s="1214"/>
      <c r="T88" s="1214"/>
      <c r="U88" s="1214"/>
      <c r="V88" s="1214"/>
      <c r="W88" s="1214"/>
      <c r="X88" s="1214"/>
      <c r="Y88" s="1214"/>
      <c r="Z88" s="1214"/>
      <c r="AA88" s="1214"/>
      <c r="AB88" s="1214"/>
      <c r="AC88" s="1285"/>
      <c r="AD88" s="1285"/>
      <c r="AE88" s="1285"/>
      <c r="AF88" s="1285"/>
      <c r="AG88" s="1285"/>
      <c r="AH88" s="1285"/>
      <c r="AI88" s="1285"/>
      <c r="AJ88" s="1285"/>
      <c r="AK88" s="1285"/>
      <c r="AL88" s="1285"/>
      <c r="AM88" s="1285"/>
    </row>
    <row r="89" spans="1:40" ht="18" customHeight="1">
      <c r="A89" s="1215"/>
      <c r="B89" s="1214"/>
      <c r="C89" s="1231"/>
      <c r="D89" s="1290"/>
      <c r="E89" s="1291"/>
      <c r="F89" s="1292"/>
      <c r="G89" s="1293"/>
      <c r="H89" s="1294"/>
      <c r="I89" s="1291"/>
      <c r="J89" s="1292"/>
      <c r="K89" s="1293"/>
      <c r="L89" s="1294"/>
      <c r="M89" s="1291"/>
      <c r="N89" s="1292"/>
      <c r="O89" s="1214"/>
      <c r="P89" s="1214"/>
      <c r="Q89" s="1214"/>
      <c r="R89" s="1214"/>
      <c r="S89" s="1214"/>
      <c r="T89" s="1214"/>
      <c r="U89" s="1214"/>
      <c r="V89" s="1214"/>
      <c r="W89" s="1214"/>
      <c r="X89" s="1214"/>
      <c r="Y89" s="1214"/>
      <c r="Z89" s="1214"/>
      <c r="AA89" s="1214"/>
      <c r="AB89" s="1214"/>
      <c r="AC89" s="1285"/>
      <c r="AD89" s="1285"/>
      <c r="AE89" s="1285"/>
      <c r="AF89" s="1285"/>
      <c r="AG89" s="1285"/>
      <c r="AH89" s="1285"/>
      <c r="AI89" s="1285"/>
      <c r="AJ89" s="1285"/>
      <c r="AK89" s="1285"/>
      <c r="AL89" s="1285"/>
      <c r="AM89" s="1285"/>
    </row>
    <row r="90" spans="1:40" ht="18" customHeight="1">
      <c r="A90" s="1215"/>
      <c r="B90" s="1214"/>
      <c r="C90" s="1231"/>
      <c r="D90" s="1290"/>
      <c r="E90" s="1291"/>
      <c r="F90" s="1292"/>
      <c r="G90" s="1293"/>
      <c r="H90" s="1294"/>
      <c r="I90" s="1291"/>
      <c r="J90" s="1292"/>
      <c r="K90" s="1295"/>
      <c r="L90" s="1294"/>
      <c r="M90" s="1291"/>
      <c r="N90" s="1292"/>
      <c r="O90" s="1214"/>
      <c r="P90" s="1214"/>
      <c r="Q90" s="1214"/>
      <c r="R90" s="1214"/>
      <c r="S90" s="1214"/>
      <c r="T90" s="1214"/>
      <c r="U90" s="1214"/>
      <c r="V90" s="1214"/>
      <c r="W90" s="1214"/>
      <c r="X90" s="1214"/>
      <c r="Y90" s="1214"/>
      <c r="Z90" s="1214"/>
      <c r="AA90" s="1214"/>
      <c r="AB90" s="1214"/>
      <c r="AC90" s="1285"/>
      <c r="AD90" s="1285"/>
      <c r="AE90" s="1285"/>
      <c r="AF90" s="1285"/>
      <c r="AG90" s="1285"/>
      <c r="AH90" s="1285"/>
      <c r="AI90" s="1285"/>
      <c r="AJ90" s="1285"/>
      <c r="AK90" s="1285"/>
      <c r="AL90" s="1285"/>
      <c r="AM90" s="1285"/>
    </row>
    <row r="91" spans="1:40" ht="15" hidden="1" customHeight="1">
      <c r="A91" s="1215"/>
      <c r="B91" s="1214"/>
      <c r="C91" s="2227" t="inlineStr">
        <is>
          <t xml:space="preserve">PERSONAL REAL</t>
        </is>
      </c>
      <c r="D91" s="2227"/>
      <c r="E91" s="2227"/>
      <c r="F91" s="2227"/>
      <c r="G91" s="2227"/>
      <c r="H91" s="2227"/>
      <c r="I91" s="2227"/>
      <c r="J91" s="2227"/>
      <c r="K91" s="2227"/>
      <c r="L91" s="2227"/>
      <c r="M91" s="2227"/>
      <c r="N91" s="2227"/>
      <c r="O91" s="1214"/>
      <c r="P91" s="1214"/>
      <c r="Q91" s="1214"/>
      <c r="R91" s="1214"/>
      <c r="S91" s="1214"/>
      <c r="T91" s="1214"/>
      <c r="U91" s="1214"/>
      <c r="V91" s="1214"/>
      <c r="W91" s="1214"/>
      <c r="X91" s="1214"/>
      <c r="Y91" s="1214"/>
      <c r="Z91" s="1214"/>
      <c r="AA91" s="1214"/>
      <c r="AB91" s="1214"/>
      <c r="AC91" s="1285"/>
      <c r="AD91" s="1285"/>
      <c r="AE91" s="1285"/>
      <c r="AF91" s="1285"/>
      <c r="AG91" s="1285"/>
      <c r="AH91" s="1285"/>
      <c r="AI91" s="1285"/>
      <c r="AJ91" s="1285"/>
      <c r="AK91" s="1285"/>
      <c r="AL91" s="1285"/>
      <c r="AM91" s="1285"/>
    </row>
    <row r="92" spans="1:40" hidden="1">
      <c r="A92" s="1215"/>
      <c r="B92" s="1214"/>
      <c r="C92" s="1296" t="inlineStr">
        <is>
          <t xml:space="preserve">VARONES</t>
        </is>
      </c>
      <c r="D92" s="1296"/>
      <c r="E92" s="1297"/>
      <c r="F92" s="1298">
        <f>IFERROR(E92/E94,0)</f>
        <v>0</v>
      </c>
      <c r="G92" s="1296" t="inlineStr">
        <is>
          <t xml:space="preserve">CAJAMARQUINOS</t>
        </is>
      </c>
      <c r="H92" s="1296"/>
      <c r="I92" s="1296"/>
      <c r="J92" s="1298">
        <f>IFERROR(I92/I94,0)</f>
        <v>0</v>
      </c>
      <c r="K92" s="2228" t="inlineStr">
        <is>
          <t xml:space="preserve">COMUNIDAD</t>
        </is>
      </c>
      <c r="L92" s="2229"/>
      <c r="M92" s="1297"/>
      <c r="N92" s="1298">
        <f>IFERROR(M92/M94,0)</f>
        <v>0</v>
      </c>
      <c r="O92" s="1214"/>
      <c r="P92" s="1214"/>
      <c r="Q92" s="1214"/>
      <c r="R92" s="1214"/>
      <c r="S92" s="1214"/>
      <c r="T92" s="1214"/>
      <c r="U92" s="1214"/>
      <c r="V92" s="1214"/>
      <c r="W92" s="1214"/>
      <c r="X92" s="1214"/>
      <c r="Y92" s="1214"/>
      <c r="Z92" s="1214"/>
      <c r="AA92" s="1214"/>
      <c r="AB92" s="1214"/>
    </row>
    <row r="93" spans="1:40" hidden="1">
      <c r="A93" s="1215"/>
      <c r="B93" s="1215"/>
      <c r="C93" s="1296" t="inlineStr">
        <is>
          <t xml:space="preserve">MUJERES</t>
        </is>
      </c>
      <c r="D93" s="1296"/>
      <c r="E93" s="1297"/>
      <c r="F93" s="1298">
        <f>IFERROR(E93/E94,0)</f>
        <v>0</v>
      </c>
      <c r="G93" s="1296" t="inlineStr">
        <is>
          <t xml:space="preserve">FORANEOS</t>
        </is>
      </c>
      <c r="H93" s="1296"/>
      <c r="I93" s="1296"/>
      <c r="J93" s="1298">
        <f>IFERROR(I93/I94,0)</f>
        <v>0</v>
      </c>
      <c r="K93" s="2228" t="inlineStr">
        <is>
          <t xml:space="preserve">NO COMUNIDAD</t>
        </is>
      </c>
      <c r="L93" s="2229"/>
      <c r="M93" s="1297"/>
      <c r="N93" s="1298">
        <f>IFERROR(M93/M94,0)</f>
        <v>0</v>
      </c>
      <c r="O93" s="1215"/>
      <c r="P93" s="1215"/>
      <c r="Q93" s="1215"/>
      <c r="R93" s="1215"/>
      <c r="S93" s="1215"/>
      <c r="T93" s="1215"/>
      <c r="U93" s="1215"/>
      <c r="V93" s="1215"/>
      <c r="W93" s="1215"/>
      <c r="X93" s="1215"/>
      <c r="Y93" s="1215"/>
      <c r="Z93" s="1215"/>
      <c r="AA93" s="1215"/>
      <c r="AB93" s="1215"/>
      <c r="AC93" s="1214"/>
      <c r="AD93" s="1214"/>
      <c r="AE93" s="1214"/>
      <c r="AF93" s="1214"/>
      <c r="AG93" s="1214"/>
      <c r="AH93" s="1214"/>
      <c r="AI93" s="1214"/>
      <c r="AJ93" s="1214"/>
      <c r="AK93" s="1214"/>
      <c r="AL93" s="1214"/>
      <c r="AM93" s="1214"/>
    </row>
    <row r="94" spans="1:40" ht="18" hidden="1">
      <c r="C94" s="1231"/>
      <c r="D94" s="1290"/>
      <c r="E94" s="1299">
        <f>SUM(E92:E93)</f>
        <v>0</v>
      </c>
      <c r="F94" s="1300">
        <f>SUM(F92:F93)</f>
        <v>0</v>
      </c>
      <c r="G94" s="1293"/>
      <c r="H94" s="1231"/>
      <c r="I94" s="1299">
        <f>SUM(I92:I93)</f>
        <v>0</v>
      </c>
      <c r="J94" s="1300">
        <f>SUM(J92:J93)</f>
        <v>0</v>
      </c>
      <c r="K94" s="1293"/>
      <c r="L94" s="1231"/>
      <c r="M94" s="1299">
        <f>SUM(M92:M93)</f>
        <v>0</v>
      </c>
      <c r="N94" s="1300">
        <f>SUM(N92:N93)</f>
        <v>0</v>
      </c>
      <c r="AG94" s="1284"/>
      <c r="AH94" s="1284"/>
      <c r="AI94" s="1284"/>
      <c r="AJ94" s="1284"/>
      <c r="AK94" s="1284"/>
      <c r="AL94" s="1217"/>
      <c r="AM94" s="1217"/>
    </row>
    <row r="95" spans="1:40" ht="18" hidden="1">
      <c r="C95" s="1231"/>
      <c r="D95" s="1290"/>
      <c r="E95" s="1291"/>
      <c r="F95" s="1292"/>
      <c r="G95" s="1293"/>
      <c r="H95" s="1294"/>
      <c r="I95" s="1291"/>
      <c r="J95" s="1292"/>
      <c r="K95" s="1293"/>
      <c r="L95" s="1294"/>
      <c r="M95" s="1291"/>
      <c r="N95" s="1292"/>
      <c r="AG95" s="1286"/>
      <c r="AH95" s="1286"/>
      <c r="AI95" s="1286"/>
      <c r="AJ95" s="1286"/>
      <c r="AK95" s="1286"/>
      <c r="AL95" s="1286"/>
      <c r="AM95" s="1286"/>
    </row>
    <row r="96" spans="1:40">
      <c r="AG96" s="1217"/>
      <c r="AH96" s="1217"/>
      <c r="AI96" s="1217"/>
      <c r="AJ96" s="1217"/>
      <c r="AK96" s="1217"/>
      <c r="AL96" s="1217"/>
      <c r="AM96" s="1217"/>
    </row>
    <row r="97" spans="29:39">
      <c r="AG97" s="1217"/>
      <c r="AH97" s="1217"/>
      <c r="AI97" s="1217"/>
      <c r="AJ97" s="1217"/>
      <c r="AK97" s="1217"/>
      <c r="AL97" s="1217"/>
      <c r="AM97" s="1217"/>
    </row>
    <row r="98" spans="29:39" ht="15.75">
      <c r="AC98" s="1214"/>
      <c r="AD98" s="1214"/>
      <c r="AE98" s="1214"/>
      <c r="AF98" s="2230"/>
      <c r="AG98" s="2230"/>
      <c r="AH98" s="1217"/>
      <c r="AI98" s="1217"/>
      <c r="AJ98" s="1217"/>
      <c r="AK98" s="1217"/>
      <c r="AL98" s="1217"/>
      <c r="AM98" s="1217"/>
    </row>
    <row r="99" spans="29:39">
      <c r="AC99" s="1214"/>
      <c r="AD99" s="1214"/>
      <c r="AE99" s="1214"/>
      <c r="AF99" s="1214"/>
      <c r="AG99" s="1214"/>
      <c r="AH99" s="1214"/>
      <c r="AI99" s="1214"/>
      <c r="AJ99" s="1214"/>
      <c r="AK99" s="1214"/>
      <c r="AL99" s="1214"/>
      <c r="AM99" s="1214"/>
    </row>
    <row r="100" spans="29:39">
      <c r="AC100" s="1214"/>
      <c r="AD100" s="1214"/>
      <c r="AE100" s="1214"/>
      <c r="AF100" s="1214"/>
      <c r="AG100" s="1214"/>
      <c r="AH100" s="1214"/>
      <c r="AI100" s="1214"/>
      <c r="AJ100" s="1214"/>
      <c r="AK100" s="1214"/>
      <c r="AL100" s="1214"/>
      <c r="AM100" s="1214"/>
    </row>
    <row r="101" spans="29:39">
      <c r="AC101" s="1214"/>
      <c r="AD101" s="1214"/>
      <c r="AE101" s="1214"/>
      <c r="AF101" s="1214"/>
      <c r="AG101" s="1214"/>
      <c r="AH101" s="1214"/>
      <c r="AI101" s="1214"/>
      <c r="AJ101" s="1214"/>
      <c r="AK101" s="1214"/>
      <c r="AL101" s="1214"/>
      <c r="AM101" s="1214"/>
    </row>
    <row r="102" spans="29:39">
      <c r="AC102" s="1214"/>
      <c r="AD102" s="1214"/>
      <c r="AE102" s="1214"/>
      <c r="AF102" s="1214"/>
      <c r="AG102" s="1214"/>
      <c r="AH102" s="1214"/>
      <c r="AI102" s="1214"/>
      <c r="AJ102" s="1214"/>
      <c r="AK102" s="1214"/>
      <c r="AL102" s="1214"/>
      <c r="AM102" s="1214"/>
    </row>
    <row r="103" spans="29:39">
      <c r="AC103" s="1214"/>
      <c r="AD103" s="1214"/>
      <c r="AE103" s="1214"/>
      <c r="AF103" s="1214"/>
      <c r="AG103" s="1214"/>
      <c r="AH103" s="1214"/>
      <c r="AI103" s="1214"/>
      <c r="AJ103" s="1214"/>
      <c r="AK103" s="1214"/>
      <c r="AL103" s="1214"/>
      <c r="AM103" s="1214"/>
    </row>
    <row r="104" spans="29:39">
      <c r="AC104" s="1215"/>
      <c r="AD104" s="1215"/>
      <c r="AE104" s="1215"/>
      <c r="AF104" s="1215"/>
      <c r="AG104" s="1215"/>
      <c r="AH104" s="1215"/>
      <c r="AI104" s="1215"/>
      <c r="AJ104" s="1215"/>
      <c r="AK104" s="1215"/>
      <c r="AL104" s="1215"/>
      <c r="AM104" s="1215"/>
    </row>
  </sheetData>
  <mergeCells count="48">
    <mergeCell ref="AF16:AI16"/>
    <mergeCell ref="AJ16:AM16"/>
    <mergeCell ref="AF17:AG17"/>
    <mergeCell ref="AH17:AI17"/>
    <mergeCell ref="AJ17:AK17"/>
    <mergeCell ref="AL17:AM17"/>
    <mergeCell ref="AC32:AM32"/>
    <mergeCell ref="AC18:AE18"/>
    <mergeCell ref="AF18:AG18"/>
    <mergeCell ref="AH18:AI18"/>
    <mergeCell ref="AJ18:AK18"/>
    <mergeCell ref="AL18:AM18"/>
    <mergeCell ref="AC19:AE19"/>
    <mergeCell ref="AF19:AG19"/>
    <mergeCell ref="AH19:AI19"/>
    <mergeCell ref="AJ19:AK19"/>
    <mergeCell ref="AL19:AM19"/>
    <mergeCell ref="AC20:AM20"/>
    <mergeCell ref="AC21:AE21"/>
    <mergeCell ref="AF21:AG21"/>
    <mergeCell ref="AI21:AK21"/>
    <mergeCell ref="AL21:AM21"/>
    <mergeCell ref="AC33:AE34"/>
    <mergeCell ref="AF33:AI33"/>
    <mergeCell ref="AJ33:AM33"/>
    <mergeCell ref="AF34:AG34"/>
    <mergeCell ref="AH34:AI34"/>
    <mergeCell ref="AJ34:AK34"/>
    <mergeCell ref="AL34:AM34"/>
    <mergeCell ref="AF35:AG35"/>
    <mergeCell ref="AH35:AI35"/>
    <mergeCell ref="AJ35:AK35"/>
    <mergeCell ref="AL35:AM35"/>
    <mergeCell ref="AC37:AE37"/>
    <mergeCell ref="AF37:AG37"/>
    <mergeCell ref="AI37:AK37"/>
    <mergeCell ref="AL37:AM37"/>
    <mergeCell ref="C91:N91"/>
    <mergeCell ref="K92:L92"/>
    <mergeCell ref="K93:L93"/>
    <mergeCell ref="AF98:AG98"/>
    <mergeCell ref="AC40:AM47"/>
    <mergeCell ref="AC51:AM54"/>
    <mergeCell ref="AC59:AM67"/>
    <mergeCell ref="AC71:AM79"/>
    <mergeCell ref="B73:M73"/>
    <mergeCell ref="B74:M74"/>
    <mergeCell ref="B79:M79"/>
  </mergeCells>
  <pageMargins left="0.7" right="0.7" top="0.75" bottom="0.75" header="0.3" footer="0.3"/>
  <pageSetup paperSize="9" scale="28"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ED2C-DFA7-49A7-9E89-9F6BFE9FC739}">
  <sheetPr>
    <tabColor rgb="FF00B050"/>
    <pageSetUpPr fitToPage="1"/>
  </sheetPr>
  <dimension ref="B1:U130"/>
  <sheetViews>
    <sheetView topLeftCell="A25" workbookViewId="0">
      <selection activeCell="A51" sqref="A51:XFD51"/>
    </sheetView>
  </sheetViews>
  <sheetFormatPr baseColWidth="10" defaultColWidth="9.140625" defaultRowHeight="15.75"/>
  <cols>
    <col min="1" max="1" width="2.85546875" style="1358" customWidth="1"/>
    <col min="2" max="2" width="48" style="1358" bestFit="1" customWidth="1"/>
    <col min="3" max="3" width="17.42578125" style="1358" customWidth="1"/>
    <col min="4" max="6" width="14.7109375" style="1358" bestFit="1" customWidth="1"/>
    <col min="7" max="7" width="13.85546875" style="1358" bestFit="1" customWidth="1"/>
    <col min="8" max="8" width="13.42578125" style="1358" bestFit="1" customWidth="1"/>
    <col min="9" max="9" width="13.85546875" style="1358" bestFit="1" customWidth="1"/>
    <col min="10" max="12" width="15" style="1358" bestFit="1" customWidth="1"/>
    <col min="13" max="14" width="15.42578125" style="1358" bestFit="1" customWidth="1"/>
    <col min="15" max="15" width="14.7109375" style="1358" customWidth="1"/>
    <col min="16" max="17" width="15" style="1358" bestFit="1" customWidth="1"/>
    <col min="18" max="18" width="13.7109375" style="1358" bestFit="1" customWidth="1"/>
    <col min="19" max="19" width="14.7109375" style="1358" bestFit="1" customWidth="1"/>
    <col min="20" max="21" width="15.140625" style="1358" bestFit="1" customWidth="1"/>
    <col min="22" max="16384" width="9.140625" style="1358"/>
  </cols>
  <sheetData>
    <row r="1" spans="2:21" s="1343" customFormat="1">
      <c r="B1" s="1342"/>
      <c r="C1" s="1342"/>
    </row>
    <row r="2" spans="2:21" s="1343" customFormat="1">
      <c r="B2" s="1344" t="inlineStr">
        <is>
          <t xml:space="preserve">STAFFING TABULATION CHART</t>
        </is>
      </c>
      <c r="C2" s="1342"/>
    </row>
    <row r="3" spans="2:21" s="1343" customFormat="1">
      <c r="C3" s="1342"/>
    </row>
    <row r="4" spans="2:21" s="1343" customFormat="1">
      <c r="B4" s="1344" t="inlineStr">
        <is>
          <t xml:space="preserve">Contract No:</t>
        </is>
      </c>
      <c r="C4" s="1345">
        <f>'PHYSICAL % PROGRESS'!F1</f>
        <v>0</v>
      </c>
    </row>
    <row r="5" spans="2:21" s="1343" customFormat="1">
      <c r="B5" s="1344" t="inlineStr">
        <is>
          <t xml:space="preserve">Contractor Name:</t>
        </is>
      </c>
      <c r="C5" s="1344" t="str">
        <f>'PHYSICAL % PROGRESS'!F2</f>
        <v>CONSORCIO CPQ COLUMBITO</v>
      </c>
    </row>
    <row r="6" spans="2:21" s="1343" customFormat="1">
      <c r="B6" s="1344" t="inlineStr">
        <is>
          <t xml:space="preserve">Description:</t>
        </is>
      </c>
      <c r="C6" s="1344" t="str">
        <f>'PHYSICAL % PROGRESS'!F3</f>
        <v>REPOSICION DEL SISTEMA DE FLOCULANTES — LB0</v>
      </c>
    </row>
    <row r="7" spans="2:21" s="1343" customFormat="1">
      <c r="B7" s="1346"/>
      <c r="C7" s="1347"/>
    </row>
    <row r="8" spans="2:21" s="1343" customFormat="1">
      <c r="B8" s="1346"/>
      <c r="C8" s="1344"/>
    </row>
    <row r="9" spans="2:21" s="1348" customFormat="1">
      <c r="B9" s="1344"/>
      <c r="D9" s="1349">
        <f>'PHYSICAL % PROGRESS'!P7</f>
        <v>27</v>
      </c>
      <c r="E9" s="1349">
        <f>'PHYSICAL % PROGRESS'!Q7</f>
        <v>28</v>
      </c>
      <c r="F9" s="1349">
        <f>'PHYSICAL % PROGRESS'!R7</f>
        <v>29</v>
      </c>
      <c r="G9" s="1349">
        <f>'PHYSICAL % PROGRESS'!S7</f>
        <v>30</v>
      </c>
      <c r="H9" s="1349">
        <f>'PHYSICAL % PROGRESS'!T7</f>
        <v>31</v>
      </c>
      <c r="I9" s="1349">
        <f>'PHYSICAL % PROGRESS'!U7</f>
        <v>32</v>
      </c>
      <c r="J9" s="1349">
        <f>'PHYSICAL % PROGRESS'!V7</f>
        <v>33</v>
      </c>
      <c r="K9" s="1349">
        <f>'PHYSICAL % PROGRESS'!W7</f>
        <v>34</v>
      </c>
      <c r="L9" s="1349">
        <f>'PHYSICAL % PROGRESS'!X7</f>
        <v>35</v>
      </c>
      <c r="M9" s="1349">
        <f>'PHYSICAL % PROGRESS'!Y7</f>
        <v>36</v>
      </c>
      <c r="N9" s="1349">
        <f>'PHYSICAL % PROGRESS'!Z7</f>
        <v>37</v>
      </c>
      <c r="O9" s="1349">
        <f>'PHYSICAL % PROGRESS'!AA7</f>
        <v>38</v>
      </c>
      <c r="P9" s="1349">
        <f>'PHYSICAL % PROGRESS'!AB7</f>
        <v>39</v>
      </c>
      <c r="Q9" s="1349">
        <f>'PHYSICAL % PROGRESS'!AC7</f>
        <v>40</v>
      </c>
      <c r="R9" s="1349">
        <f>'PHYSICAL % PROGRESS'!AD7</f>
        <v>41</v>
      </c>
      <c r="S9" s="1349">
        <f>'PHYSICAL % PROGRESS'!AE7</f>
        <v>42</v>
      </c>
      <c r="T9" s="1349">
        <f>'PHYSICAL % PROGRESS'!AF7</f>
        <v>43</v>
      </c>
      <c r="U9" s="1349">
        <f>'PHYSICAL % PROGRESS'!AG7</f>
        <v>44</v>
      </c>
    </row>
    <row r="10" spans="2:21" s="1348" customFormat="1">
      <c r="B10" s="1344"/>
      <c r="D10" s="1350">
        <f>'PHYSICAL % PROGRESS'!P8</f>
        <v>46199</v>
      </c>
      <c r="E10" s="1350">
        <f>'PHYSICAL % PROGRESS'!Q8</f>
        <v>46206</v>
      </c>
      <c r="F10" s="1350">
        <f>'PHYSICAL % PROGRESS'!R8</f>
        <v>46213</v>
      </c>
      <c r="G10" s="1350">
        <f>'PHYSICAL % PROGRESS'!S8</f>
        <v>46220</v>
      </c>
      <c r="H10" s="1350">
        <f>'PHYSICAL % PROGRESS'!T8</f>
        <v>46227</v>
      </c>
      <c r="I10" s="1350">
        <f>'PHYSICAL % PROGRESS'!U8</f>
        <v>46234</v>
      </c>
      <c r="J10" s="1350">
        <f>'PHYSICAL % PROGRESS'!V8</f>
        <v>46241</v>
      </c>
      <c r="K10" s="1350">
        <f>'PHYSICAL % PROGRESS'!W8</f>
        <v>46248</v>
      </c>
      <c r="L10" s="1350">
        <f>'PHYSICAL % PROGRESS'!X8</f>
        <v>46255</v>
      </c>
      <c r="M10" s="1350">
        <f>'PHYSICAL % PROGRESS'!Y8</f>
        <v>46262</v>
      </c>
      <c r="N10" s="1350">
        <f>'PHYSICAL % PROGRESS'!Z8</f>
        <v>46269</v>
      </c>
      <c r="O10" s="1350">
        <f>'PHYSICAL % PROGRESS'!AA8</f>
        <v>46276</v>
      </c>
      <c r="P10" s="1350">
        <f>'PHYSICAL % PROGRESS'!AB8</f>
        <v>46283</v>
      </c>
      <c r="Q10" s="1350">
        <f>'PHYSICAL % PROGRESS'!AC8</f>
        <v>46290</v>
      </c>
      <c r="R10" s="1350">
        <f>'PHYSICAL % PROGRESS'!AD8</f>
        <v>46297</v>
      </c>
      <c r="S10" s="1350">
        <f>'PHYSICAL % PROGRESS'!AE8</f>
        <v>46304</v>
      </c>
      <c r="T10" s="1350">
        <f>'PHYSICAL % PROGRESS'!AF8</f>
        <v>46311</v>
      </c>
      <c r="U10" s="1350">
        <f>'PHYSICAL % PROGRESS'!AG8</f>
        <v>46318</v>
      </c>
    </row>
    <row r="11" spans="2:21" s="1348" customFormat="1" ht="16.5" thickBot="1">
      <c r="D11" s="1351">
        <f>'PHYSICAL % PROGRESS'!P9</f>
        <v>46205</v>
      </c>
      <c r="E11" s="1351">
        <f>'PHYSICAL % PROGRESS'!Q9</f>
        <v>46212</v>
      </c>
      <c r="F11" s="1351">
        <f>'PHYSICAL % PROGRESS'!R9</f>
        <v>46219</v>
      </c>
      <c r="G11" s="1351">
        <f>'PHYSICAL % PROGRESS'!S9</f>
        <v>46226</v>
      </c>
      <c r="H11" s="1351">
        <f>'PHYSICAL % PROGRESS'!T9</f>
        <v>46233</v>
      </c>
      <c r="I11" s="1351">
        <f>'PHYSICAL % PROGRESS'!U9</f>
        <v>46240</v>
      </c>
      <c r="J11" s="1351">
        <f>'PHYSICAL % PROGRESS'!V9</f>
        <v>46247</v>
      </c>
      <c r="K11" s="1351">
        <f>'PHYSICAL % PROGRESS'!W9</f>
        <v>46254</v>
      </c>
      <c r="L11" s="1351">
        <f>'PHYSICAL % PROGRESS'!X9</f>
        <v>46261</v>
      </c>
      <c r="M11" s="1351">
        <f>'PHYSICAL % PROGRESS'!Y9</f>
        <v>46268</v>
      </c>
      <c r="N11" s="1351">
        <f>'PHYSICAL % PROGRESS'!Z9</f>
        <v>46275</v>
      </c>
      <c r="O11" s="1351">
        <f>'PHYSICAL % PROGRESS'!AA9</f>
        <v>46282</v>
      </c>
      <c r="P11" s="1351">
        <f>'PHYSICAL % PROGRESS'!AB9</f>
        <v>46289</v>
      </c>
      <c r="Q11" s="1351">
        <f>'PHYSICAL % PROGRESS'!AC9</f>
        <v>46296</v>
      </c>
      <c r="R11" s="1351">
        <f>'PHYSICAL % PROGRESS'!AD9</f>
        <v>46303</v>
      </c>
      <c r="S11" s="1351">
        <f>'PHYSICAL % PROGRESS'!AE9</f>
        <v>46310</v>
      </c>
      <c r="T11" s="1351">
        <f>'PHYSICAL % PROGRESS'!AF9</f>
        <v>46317</v>
      </c>
      <c r="U11" s="1351">
        <f>'PHYSICAL % PROGRESS'!AG9</f>
        <v>46324</v>
      </c>
    </row>
    <row r="12" spans="2:21" s="1348" customFormat="1" ht="16.5" customHeight="1">
      <c r="B12" s="1352" t="inlineStr">
        <is>
          <t xml:space="preserve">STAFF</t>
        </is>
      </c>
      <c r="C12" s="1353"/>
      <c r="D12" s="1354"/>
      <c r="E12" s="1354"/>
      <c r="F12" s="1354"/>
      <c r="G12" s="1354"/>
      <c r="H12" s="1354"/>
      <c r="I12" s="1354"/>
      <c r="J12" s="1354"/>
      <c r="K12" s="1354"/>
      <c r="L12" s="1354"/>
      <c r="M12" s="1354"/>
      <c r="N12" s="1354"/>
      <c r="O12" s="1354"/>
      <c r="P12" s="1354"/>
      <c r="Q12" s="1354"/>
      <c r="R12" s="1354"/>
      <c r="S12" s="1354"/>
      <c r="T12" s="1354"/>
      <c r="U12" s="1354"/>
    </row>
    <row r="13" spans="2:21">
      <c r="B13" s="1355" t="inlineStr">
        <is>
          <t xml:space="preserve">Residente de Obra</t>
        </is>
      </c>
      <c r="C13" s="1356" t="inlineStr">
        <is>
          <t xml:space="preserve">Plan</t>
        </is>
      </c>
      <c r="D13" s="1707">
        <v>1</v>
      </c>
      <c r="E13" s="1707">
        <v>1</v>
      </c>
      <c r="F13" s="1707">
        <v>1</v>
      </c>
      <c r="G13" s="1707">
        <v>1</v>
      </c>
      <c r="H13" s="1707">
        <v>1</v>
      </c>
      <c r="I13" s="1707">
        <v>1</v>
      </c>
      <c r="J13" s="1707">
        <v>1</v>
      </c>
      <c r="K13" s="1707">
        <v>1</v>
      </c>
      <c r="L13" s="1707">
        <v>1</v>
      </c>
      <c r="M13" s="1707">
        <v>1</v>
      </c>
      <c r="N13" s="1707">
        <v>1</v>
      </c>
      <c r="O13" s="1707">
        <v>1</v>
      </c>
      <c r="P13" s="1707">
        <v>1</v>
      </c>
      <c r="Q13" s="1707">
        <v>1</v>
      </c>
      <c r="R13" s="1707">
        <v>1</v>
      </c>
      <c r="S13" s="1707">
        <v>1</v>
      </c>
      <c r="T13" s="1707">
        <v>1</v>
      </c>
      <c r="U13" s="1707">
        <v>1</v>
      </c>
    </row>
    <row r="14" spans="2:21">
      <c r="B14" s="1359"/>
      <c r="C14" s="1360" t="inlineStr">
        <is>
          <t xml:space="preserve">Act.</t>
        </is>
      </c>
      <c r="D14" s="1491"/>
      <c r="E14" s="1491"/>
      <c r="F14" s="1491"/>
      <c r="G14" s="1491">
        <v>1</v>
      </c>
      <c r="H14" s="1491">
        <v>1</v>
      </c>
      <c r="I14" s="1491">
        <v>1</v>
      </c>
      <c r="J14" s="1491">
        <v>1</v>
      </c>
      <c r="K14" s="1491"/>
      <c r="L14" s="1491"/>
      <c r="M14" s="1491"/>
      <c r="N14" s="1491"/>
      <c r="O14" s="1491"/>
      <c r="P14" s="1491"/>
      <c r="Q14" s="1491"/>
      <c r="R14" s="1491"/>
      <c r="S14" s="1491"/>
      <c r="T14" s="1491"/>
      <c r="U14" s="1491"/>
    </row>
    <row r="15" spans="2:21">
      <c r="B15" s="1355" t="inlineStr">
        <is>
          <t xml:space="preserve">Ingeniero Supervisor</t>
        </is>
      </c>
      <c r="C15" s="1356" t="inlineStr">
        <is>
          <t xml:space="preserve">Plan</t>
        </is>
      </c>
      <c r="D15" s="1707">
        <v>2</v>
      </c>
      <c r="E15" s="1707">
        <v>2</v>
      </c>
      <c r="F15" s="1707">
        <v>2</v>
      </c>
      <c r="G15" s="1707">
        <v>2</v>
      </c>
      <c r="H15" s="1707">
        <v>2</v>
      </c>
      <c r="I15" s="1707">
        <v>2</v>
      </c>
      <c r="J15" s="1707">
        <v>2</v>
      </c>
      <c r="K15" s="1707">
        <v>2</v>
      </c>
      <c r="L15" s="1707">
        <v>2</v>
      </c>
      <c r="M15" s="1707">
        <v>2</v>
      </c>
      <c r="N15" s="1707">
        <v>2</v>
      </c>
      <c r="O15" s="1707">
        <v>2</v>
      </c>
      <c r="P15" s="1707">
        <v>2</v>
      </c>
      <c r="Q15" s="1707">
        <v>2</v>
      </c>
      <c r="R15" s="1707">
        <v>2</v>
      </c>
      <c r="S15" s="1707">
        <v>2</v>
      </c>
      <c r="T15" s="1707">
        <v>2</v>
      </c>
      <c r="U15" s="1707">
        <v>2</v>
      </c>
    </row>
    <row r="16" spans="2:21">
      <c r="B16" s="1359"/>
      <c r="C16" s="1360" t="inlineStr">
        <is>
          <t xml:space="preserve">Act.</t>
        </is>
      </c>
      <c r="D16" s="1491"/>
      <c r="E16" s="1491"/>
      <c r="F16" s="1491"/>
      <c r="G16" s="1491">
        <v>3</v>
      </c>
      <c r="H16" s="1491">
        <v>3</v>
      </c>
      <c r="I16" s="1491">
        <v>3</v>
      </c>
      <c r="J16" s="1491">
        <v>3</v>
      </c>
      <c r="K16" s="1491"/>
      <c r="L16" s="1491"/>
      <c r="M16" s="1491"/>
      <c r="N16" s="1491"/>
      <c r="O16" s="1491"/>
      <c r="P16" s="1491"/>
      <c r="Q16" s="1491"/>
      <c r="R16" s="1491"/>
      <c r="S16" s="1491"/>
      <c r="T16" s="1491"/>
      <c r="U16" s="1491"/>
    </row>
    <row r="17" spans="2:21">
      <c r="B17" s="1355" t="inlineStr">
        <is>
          <t xml:space="preserve">Ingeniero de Control de Proyectos</t>
        </is>
      </c>
      <c r="C17" s="1356" t="inlineStr">
        <is>
          <t xml:space="preserve">Plan</t>
        </is>
      </c>
      <c r="D17" s="1707">
        <v>1</v>
      </c>
      <c r="E17" s="1707">
        <v>1</v>
      </c>
      <c r="F17" s="1707">
        <v>1</v>
      </c>
      <c r="G17" s="1707">
        <v>1</v>
      </c>
      <c r="H17" s="1707">
        <v>1</v>
      </c>
      <c r="I17" s="1707">
        <v>1</v>
      </c>
      <c r="J17" s="1707">
        <v>1</v>
      </c>
      <c r="K17" s="1707">
        <v>1</v>
      </c>
      <c r="L17" s="1707">
        <v>1</v>
      </c>
      <c r="M17" s="1707">
        <v>1</v>
      </c>
      <c r="N17" s="1707">
        <v>1</v>
      </c>
      <c r="O17" s="1707">
        <v>1</v>
      </c>
      <c r="P17" s="1707">
        <v>1</v>
      </c>
      <c r="Q17" s="1707">
        <v>1</v>
      </c>
      <c r="R17" s="1707">
        <v>1</v>
      </c>
      <c r="S17" s="1707">
        <v>1</v>
      </c>
      <c r="T17" s="1707">
        <v>1</v>
      </c>
      <c r="U17" s="1707">
        <v>1</v>
      </c>
    </row>
    <row r="18" spans="2:21">
      <c r="B18" s="1359"/>
      <c r="C18" s="1360" t="inlineStr">
        <is>
          <t xml:space="preserve">Act.</t>
        </is>
      </c>
      <c r="D18" s="1491"/>
      <c r="E18" s="1491"/>
      <c r="F18" s="1491"/>
      <c r="G18" s="1491">
        <v>1</v>
      </c>
      <c r="H18" s="1491">
        <v>1</v>
      </c>
      <c r="I18" s="1491">
        <v>1</v>
      </c>
      <c r="J18" s="1491">
        <v>1</v>
      </c>
      <c r="K18" s="1491"/>
      <c r="L18" s="1491"/>
      <c r="M18" s="1491"/>
      <c r="N18" s="1491"/>
      <c r="O18" s="1491"/>
      <c r="P18" s="1491"/>
      <c r="Q18" s="1491"/>
      <c r="R18" s="1491"/>
      <c r="S18" s="1491"/>
      <c r="T18" s="1491"/>
      <c r="U18" s="1491"/>
    </row>
    <row r="19" spans="2:21">
      <c r="B19" s="1355" t="inlineStr">
        <is>
          <t xml:space="preserve">Ingeniero de Calidad</t>
        </is>
      </c>
      <c r="C19" s="1356" t="inlineStr">
        <is>
          <t xml:space="preserve">Plan</t>
        </is>
      </c>
      <c r="D19" s="1707">
        <v>1</v>
      </c>
      <c r="E19" s="1707">
        <v>1</v>
      </c>
      <c r="F19" s="1707">
        <v>1</v>
      </c>
      <c r="G19" s="1707">
        <v>1</v>
      </c>
      <c r="H19" s="1707">
        <v>1</v>
      </c>
      <c r="I19" s="1707">
        <v>1</v>
      </c>
      <c r="J19" s="1707">
        <v>1</v>
      </c>
      <c r="K19" s="1707">
        <v>1</v>
      </c>
      <c r="L19" s="1707">
        <v>1</v>
      </c>
      <c r="M19" s="1707">
        <v>1</v>
      </c>
      <c r="N19" s="1707">
        <v>1</v>
      </c>
      <c r="O19" s="1707">
        <v>1</v>
      </c>
      <c r="P19" s="1707">
        <v>1</v>
      </c>
      <c r="Q19" s="1707">
        <v>1</v>
      </c>
      <c r="R19" s="1707">
        <v>1</v>
      </c>
      <c r="S19" s="1707">
        <v>1</v>
      </c>
      <c r="T19" s="1707">
        <v>1</v>
      </c>
      <c r="U19" s="1707">
        <v>1</v>
      </c>
    </row>
    <row r="20" spans="2:21">
      <c r="B20" s="1359"/>
      <c r="C20" s="1360" t="inlineStr">
        <is>
          <t xml:space="preserve">Act.</t>
        </is>
      </c>
      <c r="D20" s="1491"/>
      <c r="E20" s="1491"/>
      <c r="F20" s="1491"/>
      <c r="G20" s="1491">
        <v>1</v>
      </c>
      <c r="H20" s="1491">
        <v>1</v>
      </c>
      <c r="I20" s="1491">
        <v>1</v>
      </c>
      <c r="J20" s="1491">
        <v>1</v>
      </c>
      <c r="K20" s="1491"/>
      <c r="L20" s="1491"/>
      <c r="M20" s="1491"/>
      <c r="N20" s="1491"/>
      <c r="O20" s="1491"/>
      <c r="P20" s="1491"/>
      <c r="Q20" s="1491"/>
      <c r="R20" s="1491"/>
      <c r="S20" s="1491"/>
      <c r="T20" s="1491"/>
      <c r="U20" s="1491"/>
    </row>
    <row r="21" spans="2:21">
      <c r="B21" s="1355" t="inlineStr">
        <is>
          <t xml:space="preserve">Administrador de Obra</t>
        </is>
      </c>
      <c r="C21" s="1356" t="inlineStr">
        <is>
          <t xml:space="preserve">Plan</t>
        </is>
      </c>
      <c r="D21" s="1707">
        <v>1</v>
      </c>
      <c r="E21" s="1707">
        <v>1</v>
      </c>
      <c r="F21" s="1707">
        <v>1</v>
      </c>
      <c r="G21" s="1707">
        <v>1</v>
      </c>
      <c r="H21" s="1707">
        <v>1</v>
      </c>
      <c r="I21" s="1707">
        <v>1</v>
      </c>
      <c r="J21" s="1707">
        <v>1</v>
      </c>
      <c r="K21" s="1707">
        <v>1</v>
      </c>
      <c r="L21" s="1707">
        <v>1</v>
      </c>
      <c r="M21" s="1707">
        <v>1</v>
      </c>
      <c r="N21" s="1707">
        <v>1</v>
      </c>
      <c r="O21" s="1707">
        <v>1</v>
      </c>
      <c r="P21" s="1707">
        <v>1</v>
      </c>
      <c r="Q21" s="1707">
        <v>1</v>
      </c>
      <c r="R21" s="1707">
        <v>1</v>
      </c>
      <c r="S21" s="1707">
        <v>1</v>
      </c>
      <c r="T21" s="1707">
        <v>1</v>
      </c>
      <c r="U21" s="1707">
        <v>1</v>
      </c>
    </row>
    <row r="22" spans="2:21">
      <c r="B22" s="1359"/>
      <c r="C22" s="1360" t="inlineStr">
        <is>
          <t xml:space="preserve">Act.</t>
        </is>
      </c>
      <c r="D22" s="1491"/>
      <c r="E22" s="1491"/>
      <c r="F22" s="1491"/>
      <c r="G22" s="1491">
        <v>1</v>
      </c>
      <c r="H22" s="1491">
        <v>1</v>
      </c>
      <c r="I22" s="1491">
        <v>1</v>
      </c>
      <c r="J22" s="1491">
        <v>1</v>
      </c>
      <c r="K22" s="1491"/>
      <c r="L22" s="1491"/>
      <c r="M22" s="1491"/>
      <c r="N22" s="1491"/>
      <c r="O22" s="1491"/>
      <c r="P22" s="1491"/>
      <c r="Q22" s="1491"/>
      <c r="R22" s="1491"/>
      <c r="S22" s="1491"/>
      <c r="T22" s="1491"/>
      <c r="U22" s="1491"/>
    </row>
    <row r="23" spans="2:21">
      <c r="B23" s="1355" t="inlineStr">
        <is>
          <t xml:space="preserve">Topógrafo</t>
        </is>
      </c>
      <c r="C23" s="1356" t="inlineStr">
        <is>
          <t xml:space="preserve">Plan</t>
        </is>
      </c>
      <c r="D23" s="1707">
        <v>1</v>
      </c>
      <c r="E23" s="1707">
        <v>1</v>
      </c>
      <c r="F23" s="1707">
        <v>1</v>
      </c>
      <c r="G23" s="1707">
        <v>1</v>
      </c>
      <c r="H23" s="1707">
        <v>1</v>
      </c>
      <c r="I23" s="1707">
        <v>1</v>
      </c>
      <c r="J23" s="1707">
        <v>1</v>
      </c>
      <c r="K23" s="1707">
        <v>1</v>
      </c>
      <c r="L23" s="1707">
        <v>1</v>
      </c>
      <c r="M23" s="1707">
        <v>1</v>
      </c>
      <c r="N23" s="1707">
        <v>1</v>
      </c>
      <c r="O23" s="1707">
        <v>1</v>
      </c>
      <c r="P23" s="1707">
        <v>1</v>
      </c>
      <c r="Q23" s="1707">
        <v>1</v>
      </c>
      <c r="R23" s="1707">
        <v>1</v>
      </c>
      <c r="S23" s="1707">
        <v>1</v>
      </c>
      <c r="T23" s="1707">
        <v>1</v>
      </c>
      <c r="U23" s="1707">
        <v>1</v>
      </c>
    </row>
    <row r="24" spans="2:21">
      <c r="B24" s="1359"/>
      <c r="C24" s="1360" t="inlineStr">
        <is>
          <t xml:space="preserve">Act.</t>
        </is>
      </c>
      <c r="D24" s="1491"/>
      <c r="E24" s="1491"/>
      <c r="F24" s="1491"/>
      <c r="G24" s="1491">
        <v>1</v>
      </c>
      <c r="H24" s="1491">
        <v>1</v>
      </c>
      <c r="I24" s="1491">
        <v>1</v>
      </c>
      <c r="J24" s="1491">
        <v>1</v>
      </c>
      <c r="K24" s="1491"/>
      <c r="L24" s="1491"/>
      <c r="M24" s="1491"/>
      <c r="N24" s="1491"/>
      <c r="O24" s="1491"/>
      <c r="P24" s="1491"/>
      <c r="Q24" s="1491"/>
      <c r="R24" s="1491"/>
      <c r="S24" s="1491"/>
      <c r="T24" s="1491"/>
      <c r="U24" s="1491"/>
    </row>
    <row r="25" spans="2:21" ht="16.5" thickBot="1">
      <c r="B25" s="1178"/>
      <c r="C25" s="1178"/>
      <c r="D25" s="1178"/>
      <c r="E25" s="1178"/>
      <c r="F25" s="1178"/>
      <c r="G25" s="1178"/>
      <c r="H25" s="1178"/>
      <c r="I25" s="1178"/>
      <c r="J25" s="1178"/>
      <c r="K25" s="1178"/>
      <c r="L25" s="1178"/>
      <c r="M25" s="1178"/>
      <c r="N25" s="1178"/>
      <c r="O25" s="1178"/>
      <c r="P25" s="1178"/>
      <c r="Q25" s="1178"/>
      <c r="R25" s="1178"/>
      <c r="S25" s="1178"/>
      <c r="T25" s="1178"/>
      <c r="U25" s="1178"/>
    </row>
    <row r="26" spans="2:21">
      <c r="B26" s="1362" t="inlineStr">
        <is>
          <t xml:space="preserve"> TOTAL STAFF</t>
        </is>
      </c>
      <c r="C26" s="1363" t="inlineStr">
        <is>
          <t xml:space="preserve">Plan</t>
        </is>
      </c>
      <c r="D26" s="1364">
        <f>SUM(D13,D15,D17,D19,D21,D23)</f>
        <v>7</v>
      </c>
      <c r="E26" s="1364">
        <f t="shared" ref="E26:U26" si="0">SUM(E13,E15,E17,E19,E21,E23)</f>
        <v>7</v>
      </c>
      <c r="F26" s="1364">
        <f t="shared" si="0"/>
        <v>7</v>
      </c>
      <c r="G26" s="1364">
        <f t="shared" si="0"/>
        <v>7</v>
      </c>
      <c r="H26" s="1364">
        <f t="shared" si="0"/>
        <v>7</v>
      </c>
      <c r="I26" s="1364">
        <f t="shared" si="0"/>
        <v>7</v>
      </c>
      <c r="J26" s="1364">
        <f t="shared" si="0"/>
        <v>7</v>
      </c>
      <c r="K26" s="1364">
        <f t="shared" si="0"/>
        <v>7</v>
      </c>
      <c r="L26" s="1364">
        <f t="shared" si="0"/>
        <v>7</v>
      </c>
      <c r="M26" s="1364">
        <f t="shared" si="0"/>
        <v>7</v>
      </c>
      <c r="N26" s="1364">
        <f t="shared" si="0"/>
        <v>7</v>
      </c>
      <c r="O26" s="1364">
        <f t="shared" si="0"/>
        <v>7</v>
      </c>
      <c r="P26" s="1364">
        <f t="shared" si="0"/>
        <v>7</v>
      </c>
      <c r="Q26" s="1364">
        <f t="shared" si="0"/>
        <v>7</v>
      </c>
      <c r="R26" s="1364">
        <f t="shared" si="0"/>
        <v>7</v>
      </c>
      <c r="S26" s="1364">
        <f t="shared" si="0"/>
        <v>7</v>
      </c>
      <c r="T26" s="1364">
        <f t="shared" si="0"/>
        <v>7</v>
      </c>
      <c r="U26" s="1364">
        <f t="shared" si="0"/>
        <v>7</v>
      </c>
    </row>
    <row r="27" spans="2:21" ht="16.5" thickBot="1">
      <c r="B27" s="1365"/>
      <c r="C27" s="1366" t="inlineStr">
        <is>
          <t xml:space="preserve">Act.</t>
        </is>
      </c>
      <c r="D27" s="1492">
        <f>SUM(D14,D16,D18,D20,D22,D24)</f>
        <v>0</v>
      </c>
      <c r="E27" s="1492">
        <f t="shared" ref="E27:U27" si="1">SUM(E14,E16,E18,E20,E22,E24)</f>
        <v>0</v>
      </c>
      <c r="F27" s="1492">
        <f>SUM(F14,F16,F18,F20,F22,F24)</f>
        <v>0</v>
      </c>
      <c r="G27" s="1492">
        <f>SUM(G14,G16,G18,G20,G22,G24)</f>
        <v>8</v>
      </c>
      <c r="H27" s="1492">
        <f>SUM(H14,H16,H18,H20,H22,H24)</f>
        <v>8</v>
      </c>
      <c r="I27" s="1492">
        <f>SUM(I14,I16,I18,I20,I22,I24)</f>
        <v>8</v>
      </c>
      <c r="J27" s="1492">
        <f>SUM(J14,J16,J18,J20,J22,J24)</f>
        <v>8</v>
      </c>
      <c r="K27" s="1492">
        <f t="shared" si="1"/>
        <v>0</v>
      </c>
      <c r="L27" s="1492">
        <f t="shared" si="1"/>
        <v>0</v>
      </c>
      <c r="M27" s="1492">
        <f t="shared" si="1"/>
        <v>0</v>
      </c>
      <c r="N27" s="1492">
        <f t="shared" si="1"/>
        <v>0</v>
      </c>
      <c r="O27" s="1492">
        <f t="shared" si="1"/>
        <v>0</v>
      </c>
      <c r="P27" s="1492">
        <f t="shared" si="1"/>
        <v>0</v>
      </c>
      <c r="Q27" s="1492">
        <f t="shared" si="1"/>
        <v>0</v>
      </c>
      <c r="R27" s="1492">
        <f t="shared" si="1"/>
        <v>0</v>
      </c>
      <c r="S27" s="1492">
        <f t="shared" si="1"/>
        <v>0</v>
      </c>
      <c r="T27" s="1492">
        <f t="shared" si="1"/>
        <v>0</v>
      </c>
      <c r="U27" s="1492">
        <f t="shared" si="1"/>
        <v>0</v>
      </c>
    </row>
    <row r="28" spans="2:21">
      <c r="B28" s="1178"/>
      <c r="C28" s="1178"/>
      <c r="D28" s="1178"/>
      <c r="E28" s="1178"/>
      <c r="F28" s="1178"/>
      <c r="G28" s="1178"/>
      <c r="H28" s="1178"/>
      <c r="I28" s="1178"/>
      <c r="J28" s="1178"/>
      <c r="K28" s="1178"/>
      <c r="L28" s="1178"/>
      <c r="M28" s="1178"/>
      <c r="N28" s="1178"/>
      <c r="O28" s="1178"/>
      <c r="P28" s="1178"/>
      <c r="Q28" s="1178"/>
      <c r="R28" s="1178"/>
      <c r="S28" s="1178"/>
      <c r="T28" s="1178"/>
      <c r="U28" s="1178"/>
    </row>
    <row r="29" spans="2:21" ht="16.5" thickBot="1">
      <c r="B29" s="1178"/>
      <c r="C29" s="1178"/>
      <c r="D29" s="1178"/>
      <c r="E29" s="1178"/>
      <c r="F29" s="1178"/>
      <c r="G29" s="1178"/>
      <c r="H29" s="1178"/>
      <c r="I29" s="1178"/>
      <c r="J29" s="1178"/>
      <c r="K29" s="1178"/>
      <c r="L29" s="1178"/>
      <c r="M29" s="1178"/>
      <c r="N29" s="1178"/>
      <c r="O29" s="1178"/>
      <c r="P29" s="1178"/>
      <c r="Q29" s="1178"/>
      <c r="R29" s="1178"/>
      <c r="S29" s="1178"/>
      <c r="T29" s="1178"/>
      <c r="U29" s="1178"/>
    </row>
    <row r="30" spans="2:21">
      <c r="B30" s="1352" t="inlineStr">
        <is>
          <t xml:space="preserve">PERSONAL INDIRECTO</t>
        </is>
      </c>
      <c r="C30" s="1354"/>
      <c r="D30" s="1354"/>
      <c r="E30" s="1354"/>
      <c r="F30" s="1354"/>
      <c r="G30" s="1354"/>
      <c r="H30" s="1354"/>
      <c r="I30" s="1354"/>
      <c r="J30" s="1354"/>
      <c r="K30" s="1354"/>
      <c r="L30" s="1354"/>
      <c r="M30" s="1354"/>
      <c r="N30" s="1354"/>
      <c r="O30" s="1354"/>
      <c r="P30" s="1354"/>
      <c r="Q30" s="1354"/>
      <c r="R30" s="1354"/>
      <c r="S30" s="1354"/>
      <c r="T30" s="1354"/>
      <c r="U30" s="1354"/>
    </row>
    <row r="31" spans="2:21">
      <c r="B31" s="1355" t="inlineStr">
        <is>
          <t xml:space="preserve">Conductor (COUSTER, CAMIONETA)</t>
        </is>
      </c>
      <c r="C31" s="1356" t="inlineStr">
        <is>
          <t xml:space="preserve">Plan</t>
        </is>
      </c>
      <c r="D31" s="1707">
        <v>5</v>
      </c>
      <c r="E31" s="1707">
        <v>5</v>
      </c>
      <c r="F31" s="1707">
        <v>5</v>
      </c>
      <c r="G31" s="1707">
        <v>5</v>
      </c>
      <c r="H31" s="1707">
        <v>5</v>
      </c>
      <c r="I31" s="1707">
        <v>5</v>
      </c>
      <c r="J31" s="1707">
        <v>5</v>
      </c>
      <c r="K31" s="1707">
        <v>5</v>
      </c>
      <c r="L31" s="1707">
        <v>5</v>
      </c>
      <c r="M31" s="1707">
        <v>5</v>
      </c>
      <c r="N31" s="1707">
        <v>5</v>
      </c>
      <c r="O31" s="1707">
        <v>5</v>
      </c>
      <c r="P31" s="1707">
        <v>5</v>
      </c>
      <c r="Q31" s="1707">
        <v>5</v>
      </c>
      <c r="R31" s="1707">
        <v>5</v>
      </c>
      <c r="S31" s="1707">
        <v>5</v>
      </c>
      <c r="T31" s="1707">
        <v>5</v>
      </c>
      <c r="U31" s="1707">
        <v>5</v>
      </c>
    </row>
    <row r="32" spans="2:21">
      <c r="B32" s="1359"/>
      <c r="C32" s="1360" t="inlineStr">
        <is>
          <t xml:space="preserve">Act.</t>
        </is>
      </c>
      <c r="D32" s="1491"/>
      <c r="E32" s="1491"/>
      <c r="F32" s="1491"/>
      <c r="G32" s="1491">
        <v>2</v>
      </c>
      <c r="H32" s="1491">
        <v>2</v>
      </c>
      <c r="I32" s="1491">
        <v>2</v>
      </c>
      <c r="J32" s="1491">
        <v>2</v>
      </c>
      <c r="K32" s="1491"/>
      <c r="L32" s="1491"/>
      <c r="M32" s="1491"/>
      <c r="N32" s="1491"/>
      <c r="O32" s="1491"/>
      <c r="P32" s="1491"/>
      <c r="Q32" s="1491"/>
      <c r="R32" s="1491"/>
      <c r="S32" s="1491"/>
      <c r="T32" s="1491"/>
      <c r="U32" s="1491"/>
    </row>
    <row r="33" spans="2:21">
      <c r="B33" s="1355" t="inlineStr">
        <is>
          <t xml:space="preserve">Operador camión grúa</t>
        </is>
      </c>
      <c r="C33" s="1356" t="inlineStr">
        <is>
          <t xml:space="preserve">Plan</t>
        </is>
      </c>
      <c r="D33" s="1707">
        <v>1</v>
      </c>
      <c r="E33" s="1707">
        <v>1</v>
      </c>
      <c r="F33" s="1707">
        <v>1</v>
      </c>
      <c r="G33" s="1707">
        <v>1</v>
      </c>
      <c r="H33" s="1707">
        <v>1</v>
      </c>
      <c r="I33" s="1707">
        <v>1</v>
      </c>
      <c r="J33" s="1707">
        <v>1</v>
      </c>
      <c r="K33" s="1707">
        <v>1</v>
      </c>
      <c r="L33" s="1707">
        <v>1</v>
      </c>
      <c r="M33" s="1707">
        <v>1</v>
      </c>
      <c r="N33" s="1707">
        <v>1</v>
      </c>
      <c r="O33" s="1707">
        <v>1</v>
      </c>
      <c r="P33" s="1707">
        <v>1</v>
      </c>
      <c r="Q33" s="1707">
        <v>1</v>
      </c>
      <c r="R33" s="1707">
        <v>1</v>
      </c>
      <c r="S33" s="1707">
        <v>1</v>
      </c>
      <c r="T33" s="1707">
        <v>1</v>
      </c>
      <c r="U33" s="1707">
        <v>1</v>
      </c>
    </row>
    <row r="34" spans="2:21">
      <c r="B34" s="1359"/>
      <c r="C34" s="1360" t="inlineStr">
        <is>
          <t xml:space="preserve">Act.</t>
        </is>
      </c>
      <c r="D34" s="1491"/>
      <c r="E34" s="1491"/>
      <c r="F34" s="1491"/>
      <c r="G34" s="1491">
        <v>1</v>
      </c>
      <c r="H34" s="1491">
        <v>1</v>
      </c>
      <c r="I34" s="1491">
        <v>1</v>
      </c>
      <c r="J34" s="1491">
        <v>1</v>
      </c>
      <c r="K34" s="1491"/>
      <c r="L34" s="1491"/>
      <c r="M34" s="1491"/>
      <c r="N34" s="1491"/>
      <c r="O34" s="1491"/>
      <c r="P34" s="1491"/>
      <c r="Q34" s="1491"/>
      <c r="R34" s="1491"/>
      <c r="S34" s="1491"/>
      <c r="T34" s="1491"/>
      <c r="U34" s="1491"/>
    </row>
    <row r="35" spans="2:21">
      <c r="B35" s="1355" t="inlineStr">
        <is>
          <t xml:space="preserve">Operador camión 4tn</t>
        </is>
      </c>
      <c r="C35" s="1356" t="inlineStr">
        <is>
          <t xml:space="preserve">Plan</t>
        </is>
      </c>
      <c r="D35" s="1707">
        <v>1</v>
      </c>
      <c r="E35" s="1707">
        <v>1</v>
      </c>
      <c r="F35" s="1707">
        <v>1</v>
      </c>
      <c r="G35" s="1707">
        <v>1</v>
      </c>
      <c r="H35" s="1707">
        <v>1</v>
      </c>
      <c r="I35" s="1707">
        <v>1</v>
      </c>
      <c r="J35" s="1707">
        <v>1</v>
      </c>
      <c r="K35" s="1707">
        <v>1</v>
      </c>
      <c r="L35" s="1707">
        <v>1</v>
      </c>
      <c r="M35" s="1707">
        <v>1</v>
      </c>
      <c r="N35" s="1707">
        <v>1</v>
      </c>
      <c r="O35" s="1707">
        <v>1</v>
      </c>
      <c r="P35" s="1707">
        <v>1</v>
      </c>
      <c r="Q35" s="1707">
        <v>1</v>
      </c>
      <c r="R35" s="1707">
        <v>1</v>
      </c>
      <c r="S35" s="1707">
        <v>1</v>
      </c>
      <c r="T35" s="1707">
        <v>1</v>
      </c>
      <c r="U35" s="1707">
        <v>1</v>
      </c>
    </row>
    <row r="36" spans="2:21">
      <c r="B36" s="1359"/>
      <c r="C36" s="1360" t="inlineStr">
        <is>
          <t xml:space="preserve">Act.</t>
        </is>
      </c>
      <c r="D36" s="1491"/>
      <c r="E36" s="1491"/>
      <c r="F36" s="1491"/>
      <c r="G36" s="1491"/>
      <c r="H36" s="1491"/>
      <c r="I36" s="1491"/>
      <c r="J36" s="1491"/>
      <c r="K36" s="1491"/>
      <c r="L36" s="1491"/>
      <c r="M36" s="1491"/>
      <c r="N36" s="1491"/>
      <c r="O36" s="1491"/>
      <c r="P36" s="1491"/>
      <c r="Q36" s="1491"/>
      <c r="R36" s="1491"/>
      <c r="S36" s="1491"/>
      <c r="T36" s="1491"/>
      <c r="U36" s="1491"/>
    </row>
    <row r="37" spans="2:21">
      <c r="B37" s="1355" t="inlineStr">
        <is>
          <t xml:space="preserve">Rigger</t>
        </is>
      </c>
      <c r="C37" s="1356" t="inlineStr">
        <is>
          <t xml:space="preserve">Plan</t>
        </is>
      </c>
      <c r="D37" s="1707">
        <v>1</v>
      </c>
      <c r="E37" s="1707">
        <v>1</v>
      </c>
      <c r="F37" s="1707">
        <v>1</v>
      </c>
      <c r="G37" s="1707">
        <v>1</v>
      </c>
      <c r="H37" s="1707">
        <v>1</v>
      </c>
      <c r="I37" s="1707">
        <v>1</v>
      </c>
      <c r="J37" s="1707">
        <v>1</v>
      </c>
      <c r="K37" s="1707">
        <v>1</v>
      </c>
      <c r="L37" s="1707">
        <v>1</v>
      </c>
      <c r="M37" s="1707">
        <v>1</v>
      </c>
      <c r="N37" s="1707">
        <v>1</v>
      </c>
      <c r="O37" s="1707">
        <v>1</v>
      </c>
      <c r="P37" s="1707">
        <v>1</v>
      </c>
      <c r="Q37" s="1707">
        <v>1</v>
      </c>
      <c r="R37" s="1707">
        <v>1</v>
      </c>
      <c r="S37" s="1707">
        <v>1</v>
      </c>
      <c r="T37" s="1707">
        <v>1</v>
      </c>
      <c r="U37" s="1707">
        <v>1</v>
      </c>
    </row>
    <row r="38" spans="2:21">
      <c r="B38" s="1359"/>
      <c r="C38" s="1360" t="inlineStr">
        <is>
          <t xml:space="preserve">Act.</t>
        </is>
      </c>
      <c r="D38" s="1491"/>
      <c r="E38" s="1491"/>
      <c r="F38" s="1491"/>
      <c r="G38" s="1491">
        <v>1</v>
      </c>
      <c r="H38" s="1491">
        <v>1</v>
      </c>
      <c r="I38" s="1491">
        <v>1</v>
      </c>
      <c r="J38" s="1491">
        <v>1</v>
      </c>
      <c r="K38" s="1491"/>
      <c r="L38" s="1491"/>
      <c r="M38" s="1491"/>
      <c r="N38" s="1491"/>
      <c r="O38" s="1491"/>
      <c r="P38" s="1491"/>
      <c r="Q38" s="1491"/>
      <c r="R38" s="1491"/>
      <c r="S38" s="1491"/>
      <c r="T38" s="1491"/>
      <c r="U38" s="1491"/>
    </row>
    <row r="39" spans="2:21">
      <c r="B39" s="1355" t="inlineStr">
        <is>
          <t xml:space="preserve">Almacenero</t>
        </is>
      </c>
      <c r="C39" s="1356" t="inlineStr">
        <is>
          <t xml:space="preserve">Plan</t>
        </is>
      </c>
      <c r="D39" s="1707">
        <v>1</v>
      </c>
      <c r="E39" s="1707">
        <v>1</v>
      </c>
      <c r="F39" s="1707">
        <v>1</v>
      </c>
      <c r="G39" s="1707">
        <v>1</v>
      </c>
      <c r="H39" s="1707">
        <v>1</v>
      </c>
      <c r="I39" s="1707">
        <v>1</v>
      </c>
      <c r="J39" s="1707">
        <v>1</v>
      </c>
      <c r="K39" s="1707">
        <v>1</v>
      </c>
      <c r="L39" s="1707">
        <v>1</v>
      </c>
      <c r="M39" s="1707">
        <v>1</v>
      </c>
      <c r="N39" s="1707">
        <v>1</v>
      </c>
      <c r="O39" s="1707">
        <v>1</v>
      </c>
      <c r="P39" s="1707">
        <v>1</v>
      </c>
      <c r="Q39" s="1707">
        <v>1</v>
      </c>
      <c r="R39" s="1707">
        <v>1</v>
      </c>
      <c r="S39" s="1707">
        <v>1</v>
      </c>
      <c r="T39" s="1707">
        <v>1</v>
      </c>
      <c r="U39" s="1707">
        <v>1</v>
      </c>
    </row>
    <row r="40" spans="2:21">
      <c r="B40" s="1359"/>
      <c r="C40" s="1360" t="inlineStr">
        <is>
          <t xml:space="preserve">Act.</t>
        </is>
      </c>
      <c r="D40" s="1491"/>
      <c r="E40" s="1491"/>
      <c r="F40" s="1491"/>
      <c r="G40" s="1491">
        <v>1</v>
      </c>
      <c r="H40" s="1491">
        <v>1</v>
      </c>
      <c r="I40" s="1491">
        <v>1</v>
      </c>
      <c r="J40" s="1491">
        <v>1</v>
      </c>
      <c r="K40" s="1491"/>
      <c r="L40" s="1491"/>
      <c r="M40" s="1491"/>
      <c r="N40" s="1491"/>
      <c r="O40" s="1491"/>
      <c r="P40" s="1491"/>
      <c r="Q40" s="1491"/>
      <c r="R40" s="1491"/>
      <c r="S40" s="1491"/>
      <c r="T40" s="1491"/>
      <c r="U40" s="1491"/>
    </row>
    <row r="41" spans="2:21" ht="16.5" thickBot="1">
      <c r="B41" s="1178"/>
      <c r="C41" s="1178"/>
      <c r="D41" s="1178"/>
      <c r="E41" s="1178"/>
      <c r="F41" s="1178"/>
      <c r="G41" s="1178"/>
      <c r="H41" s="1178"/>
      <c r="I41" s="1178"/>
      <c r="J41" s="1178"/>
      <c r="K41" s="1178"/>
      <c r="L41" s="1178"/>
      <c r="M41" s="1178"/>
      <c r="N41" s="1178"/>
      <c r="O41" s="1178"/>
      <c r="P41" s="1178"/>
      <c r="Q41" s="1178"/>
      <c r="R41" s="1178"/>
      <c r="S41" s="1178"/>
      <c r="T41" s="1178"/>
      <c r="U41" s="1178"/>
    </row>
    <row r="42" spans="2:21">
      <c r="B42" s="1362" t="inlineStr">
        <is>
          <t xml:space="preserve"> TOTAL </t>
        </is>
      </c>
      <c r="C42" s="1363" t="inlineStr">
        <is>
          <t xml:space="preserve">Plan</t>
        </is>
      </c>
      <c r="D42" s="1364">
        <f>SUM(D31,D33,D35,D37,D39)</f>
        <v>9</v>
      </c>
      <c r="E42" s="1364">
        <f t="shared" ref="E42:U42" si="2">SUM(E31,E33,E35,E37,E39)</f>
        <v>9</v>
      </c>
      <c r="F42" s="1364">
        <f t="shared" si="2"/>
        <v>9</v>
      </c>
      <c r="G42" s="1364">
        <f t="shared" si="2"/>
        <v>9</v>
      </c>
      <c r="H42" s="1364">
        <f t="shared" si="2"/>
        <v>9</v>
      </c>
      <c r="I42" s="1364">
        <f t="shared" si="2"/>
        <v>9</v>
      </c>
      <c r="J42" s="1364">
        <f t="shared" si="2"/>
        <v>9</v>
      </c>
      <c r="K42" s="1364">
        <f t="shared" si="2"/>
        <v>9</v>
      </c>
      <c r="L42" s="1364">
        <f t="shared" si="2"/>
        <v>9</v>
      </c>
      <c r="M42" s="1364">
        <f t="shared" si="2"/>
        <v>9</v>
      </c>
      <c r="N42" s="1364">
        <f t="shared" si="2"/>
        <v>9</v>
      </c>
      <c r="O42" s="1364">
        <f t="shared" si="2"/>
        <v>9</v>
      </c>
      <c r="P42" s="1364">
        <f t="shared" si="2"/>
        <v>9</v>
      </c>
      <c r="Q42" s="1364">
        <f t="shared" si="2"/>
        <v>9</v>
      </c>
      <c r="R42" s="1364">
        <f t="shared" si="2"/>
        <v>9</v>
      </c>
      <c r="S42" s="1364">
        <f t="shared" si="2"/>
        <v>9</v>
      </c>
      <c r="T42" s="1364">
        <f t="shared" si="2"/>
        <v>9</v>
      </c>
      <c r="U42" s="1364">
        <f t="shared" si="2"/>
        <v>9</v>
      </c>
    </row>
    <row r="43" spans="2:21" ht="16.5" thickBot="1">
      <c r="B43" s="1365"/>
      <c r="C43" s="1366" t="inlineStr">
        <is>
          <t xml:space="preserve">Act.</t>
        </is>
      </c>
      <c r="D43" s="1492">
        <f>SUM(D32,D34,D36,D38,D40)</f>
        <v>0</v>
      </c>
      <c r="E43" s="1492">
        <f t="shared" ref="E43:U43" si="3">SUM(E32,E34,E36,E38,E40)</f>
        <v>0</v>
      </c>
      <c r="F43" s="1492">
        <f t="shared" si="3"/>
        <v>0</v>
      </c>
      <c r="G43" s="1492">
        <f>SUM(G32,G34,G36,G38,G40)</f>
        <v>5</v>
      </c>
      <c r="H43" s="1492">
        <f>SUM(H32,H34,H36,H38,H40)</f>
        <v>5</v>
      </c>
      <c r="I43" s="1492">
        <f>SUM(I32,I34,I36,I38,I40)</f>
        <v>5</v>
      </c>
      <c r="J43" s="1492">
        <f>SUM(J32,J34,J36,J38,J40)</f>
        <v>5</v>
      </c>
      <c r="K43" s="1492">
        <f t="shared" si="3"/>
        <v>0</v>
      </c>
      <c r="L43" s="1492">
        <f t="shared" si="3"/>
        <v>0</v>
      </c>
      <c r="M43" s="1492">
        <f t="shared" si="3"/>
        <v>0</v>
      </c>
      <c r="N43" s="1492">
        <f t="shared" si="3"/>
        <v>0</v>
      </c>
      <c r="O43" s="1492">
        <f t="shared" si="3"/>
        <v>0</v>
      </c>
      <c r="P43" s="1492">
        <f t="shared" si="3"/>
        <v>0</v>
      </c>
      <c r="Q43" s="1492">
        <f t="shared" si="3"/>
        <v>0</v>
      </c>
      <c r="R43" s="1492">
        <f t="shared" si="3"/>
        <v>0</v>
      </c>
      <c r="S43" s="1492">
        <f t="shared" si="3"/>
        <v>0</v>
      </c>
      <c r="T43" s="1492">
        <f t="shared" si="3"/>
        <v>0</v>
      </c>
      <c r="U43" s="1492">
        <f t="shared" si="3"/>
        <v>0</v>
      </c>
    </row>
    <row r="44" spans="2:21">
      <c r="B44" s="1178"/>
      <c r="C44" s="1178"/>
      <c r="D44" s="1178"/>
      <c r="E44" s="1178"/>
      <c r="F44" s="1178"/>
      <c r="G44" s="1178"/>
      <c r="H44" s="1178"/>
      <c r="I44" s="1178"/>
      <c r="J44" s="1178"/>
      <c r="K44" s="1178"/>
      <c r="L44" s="1178"/>
      <c r="M44" s="1178"/>
      <c r="N44" s="1178"/>
      <c r="O44" s="1178"/>
      <c r="P44" s="1178"/>
      <c r="Q44" s="1178"/>
      <c r="R44" s="1178"/>
      <c r="S44" s="1178"/>
      <c r="T44" s="1178"/>
      <c r="U44" s="1178"/>
    </row>
    <row r="45" spans="2:21" ht="16.5" thickBot="1">
      <c r="B45" s="1178"/>
      <c r="C45" s="1178"/>
      <c r="D45" s="1178"/>
      <c r="E45" s="1178"/>
      <c r="F45" s="1178"/>
      <c r="G45" s="1178"/>
      <c r="H45" s="1178"/>
      <c r="I45" s="1178"/>
      <c r="J45" s="1178"/>
      <c r="K45" s="1178"/>
      <c r="L45" s="1178"/>
      <c r="M45" s="1178"/>
      <c r="N45" s="1178"/>
      <c r="O45" s="1178"/>
      <c r="P45" s="1178"/>
      <c r="Q45" s="1178"/>
      <c r="R45" s="1178"/>
      <c r="S45" s="1178"/>
      <c r="T45" s="1178"/>
      <c r="U45" s="1178"/>
    </row>
    <row r="46" spans="2:21" s="1348" customFormat="1" ht="16.5" customHeight="1">
      <c r="B46" s="1352" t="inlineStr">
        <is>
          <t xml:space="preserve">LABOR</t>
        </is>
      </c>
      <c r="C46" s="1354"/>
      <c r="D46" s="1354"/>
      <c r="E46" s="1354"/>
      <c r="F46" s="1354"/>
      <c r="G46" s="1354"/>
      <c r="H46" s="1354"/>
      <c r="I46" s="1354"/>
      <c r="J46" s="1354"/>
      <c r="K46" s="1354"/>
      <c r="L46" s="1354"/>
      <c r="M46" s="1354"/>
      <c r="N46" s="1354"/>
      <c r="O46" s="1354"/>
      <c r="P46" s="1354"/>
      <c r="Q46" s="1354"/>
      <c r="R46" s="1354"/>
      <c r="S46" s="1354"/>
      <c r="T46" s="1354"/>
      <c r="U46" s="1354"/>
    </row>
    <row r="47" spans="2:21">
      <c r="B47" s="1499" t="str">
        <f>'Para Histograma'!D577&amp;"  ("&amp;'Para Histograma'!E577&amp;")"</f>
        <v>CAPATAZ  (CIVIL)</v>
      </c>
      <c r="C47" s="1356" t="inlineStr">
        <is>
          <t xml:space="preserve">Plan</t>
        </is>
      </c>
      <c r="D47" s="1357">
        <f>'Para Histograma'!L577</f>
        <v>0</v>
      </c>
      <c r="E47" s="1357">
        <f>'Para Histograma'!M577</f>
        <v>0</v>
      </c>
      <c r="F47" s="1357">
        <f>'Para Histograma'!N577</f>
        <v>0</v>
      </c>
      <c r="G47" s="1357">
        <f>'Para Histograma'!O577</f>
        <v>1</v>
      </c>
      <c r="H47" s="1357">
        <f>'Para Histograma'!P577</f>
        <v>1</v>
      </c>
      <c r="I47" s="1357">
        <f>'Para Histograma'!Q577</f>
        <v>1</v>
      </c>
      <c r="J47" s="1357">
        <f>'Para Histograma'!R577</f>
        <v>1</v>
      </c>
      <c r="K47" s="1357">
        <f>'Para Histograma'!S577</f>
        <v>0</v>
      </c>
      <c r="L47" s="1357">
        <f>'Para Histograma'!T577</f>
        <v>0</v>
      </c>
      <c r="M47" s="1357">
        <f>'Para Histograma'!U577</f>
        <v>0</v>
      </c>
      <c r="N47" s="1357">
        <f>'Para Histograma'!V577</f>
        <v>0</v>
      </c>
      <c r="O47" s="1357">
        <f>'Para Histograma'!W577</f>
        <v>0</v>
      </c>
      <c r="P47" s="1357">
        <f>'Para Histograma'!X577</f>
        <v>0</v>
      </c>
      <c r="Q47" s="1357">
        <f>'Para Histograma'!Y577</f>
        <v>0</v>
      </c>
      <c r="R47" s="1357">
        <f>'Para Histograma'!Z577</f>
        <v>0</v>
      </c>
      <c r="S47" s="1357">
        <f>'Para Histograma'!AA577</f>
        <v>0</v>
      </c>
      <c r="T47" s="1357">
        <f>'Para Histograma'!AB577</f>
        <v>0</v>
      </c>
      <c r="U47" s="1357">
        <f>'Para Histograma'!AC577</f>
        <v>0</v>
      </c>
    </row>
    <row r="48" spans="2:21">
      <c r="B48" s="1359"/>
      <c r="C48" s="1360" t="inlineStr">
        <is>
          <t xml:space="preserve">Act.</t>
        </is>
      </c>
      <c r="D48" s="1491"/>
      <c r="E48" s="1491"/>
      <c r="F48" s="1491"/>
      <c r="G48" s="1491">
        <v>1</v>
      </c>
      <c r="H48" s="1491">
        <v>1</v>
      </c>
      <c r="I48" s="1491">
        <v>1</v>
      </c>
      <c r="J48" s="1491">
        <v>1</v>
      </c>
      <c r="K48" s="1491"/>
      <c r="L48" s="1491"/>
      <c r="M48" s="1491"/>
      <c r="N48" s="1491"/>
      <c r="O48" s="1491"/>
      <c r="P48" s="1491"/>
      <c r="Q48" s="1491"/>
      <c r="R48" s="1491"/>
      <c r="S48" s="1491"/>
      <c r="T48" s="1491"/>
      <c r="U48" s="1491"/>
    </row>
    <row r="49" spans="2:21">
      <c r="B49" s="1499" t="str">
        <f>'Para Histograma'!D578&amp;"  ("&amp;'Para Histograma'!E578&amp;")"</f>
        <v>AYUDANTE  (CIVIL)</v>
      </c>
      <c r="C49" s="1356" t="inlineStr">
        <is>
          <t xml:space="preserve">Plan</t>
        </is>
      </c>
      <c r="D49" s="1357">
        <f>'Para Histograma'!L578</f>
        <v>0</v>
      </c>
      <c r="E49" s="1357">
        <f>'Para Histograma'!M578</f>
        <v>0</v>
      </c>
      <c r="F49" s="1357">
        <f>'Para Histograma'!N578</f>
        <v>0</v>
      </c>
      <c r="G49" s="1357">
        <f>'Para Histograma'!O578</f>
        <v>2</v>
      </c>
      <c r="H49" s="1357">
        <f>'Para Histograma'!P578</f>
        <v>2</v>
      </c>
      <c r="I49" s="1357">
        <f>'Para Histograma'!Q578</f>
        <v>2</v>
      </c>
      <c r="J49" s="1357">
        <f>'Para Histograma'!R578</f>
        <v>2</v>
      </c>
      <c r="K49" s="1357">
        <f>'Para Histograma'!S578</f>
        <v>1</v>
      </c>
      <c r="L49" s="1357">
        <f>'Para Histograma'!T578</f>
        <v>1</v>
      </c>
      <c r="M49" s="1357">
        <f>'Para Histograma'!U578</f>
        <v>0</v>
      </c>
      <c r="N49" s="1357">
        <f>'Para Histograma'!V578</f>
        <v>0</v>
      </c>
      <c r="O49" s="1357">
        <f>'Para Histograma'!W578</f>
        <v>0</v>
      </c>
      <c r="P49" s="1357">
        <f>'Para Histograma'!X578</f>
        <v>0</v>
      </c>
      <c r="Q49" s="1357">
        <f>'Para Histograma'!Y578</f>
        <v>0</v>
      </c>
      <c r="R49" s="1357">
        <f>'Para Histograma'!Z578</f>
        <v>0</v>
      </c>
      <c r="S49" s="1357">
        <f>'Para Histograma'!AA578</f>
        <v>0</v>
      </c>
      <c r="T49" s="1357">
        <f>'Para Histograma'!AB578</f>
        <v>0</v>
      </c>
      <c r="U49" s="1357">
        <f>'Para Histograma'!AC578</f>
        <v>0</v>
      </c>
    </row>
    <row r="50" spans="2:21">
      <c r="B50" s="1359"/>
      <c r="C50" s="1360" t="inlineStr">
        <is>
          <t xml:space="preserve">Act.</t>
        </is>
      </c>
      <c r="D50" s="1491"/>
      <c r="E50" s="1491"/>
      <c r="F50" s="1491"/>
      <c r="G50" s="1491"/>
      <c r="H50" s="1491">
        <v>1</v>
      </c>
      <c r="I50" s="1491">
        <v>1</v>
      </c>
      <c r="J50" s="1491">
        <v>1</v>
      </c>
      <c r="K50" s="1491"/>
      <c r="L50" s="1491"/>
      <c r="M50" s="1491"/>
      <c r="N50" s="1491"/>
      <c r="O50" s="1491"/>
      <c r="P50" s="1491"/>
      <c r="Q50" s="1491"/>
      <c r="R50" s="1491"/>
      <c r="S50" s="1491"/>
      <c r="T50" s="1491"/>
      <c r="U50" s="1491"/>
    </row>
    <row r="51" spans="2:21">
      <c r="B51" s="1499" t="str">
        <f>'Para Histograma'!D579&amp;"  ("&amp;'Para Histograma'!E579&amp;")"</f>
        <v>OPERARIO  (CIVIL)</v>
      </c>
      <c r="C51" s="1356" t="inlineStr">
        <is>
          <t xml:space="preserve">Plan</t>
        </is>
      </c>
      <c r="D51" s="1357">
        <f>'Para Histograma'!L579</f>
        <v>0</v>
      </c>
      <c r="E51" s="1357">
        <f>'Para Histograma'!M579</f>
        <v>0</v>
      </c>
      <c r="F51" s="1357">
        <f>'Para Histograma'!N579</f>
        <v>0</v>
      </c>
      <c r="G51" s="1357">
        <f>'Para Histograma'!O579</f>
        <v>0</v>
      </c>
      <c r="H51" s="1357">
        <f>'Para Histograma'!P579</f>
        <v>1</v>
      </c>
      <c r="I51" s="1357">
        <f>'Para Histograma'!Q579</f>
        <v>1</v>
      </c>
      <c r="J51" s="1357">
        <f>'Para Histograma'!R579</f>
        <v>1</v>
      </c>
      <c r="K51" s="1357">
        <f>'Para Histograma'!S579</f>
        <v>1</v>
      </c>
      <c r="L51" s="1357">
        <f>'Para Histograma'!T579</f>
        <v>1</v>
      </c>
      <c r="M51" s="1357">
        <f>'Para Histograma'!U579</f>
        <v>1</v>
      </c>
      <c r="N51" s="1357">
        <f>'Para Histograma'!V579</f>
        <v>0</v>
      </c>
      <c r="O51" s="1357">
        <f>'Para Histograma'!W579</f>
        <v>0</v>
      </c>
      <c r="P51" s="1357">
        <f>'Para Histograma'!X579</f>
        <v>0</v>
      </c>
      <c r="Q51" s="1357">
        <f>'Para Histograma'!Y579</f>
        <v>0</v>
      </c>
      <c r="R51" s="1357">
        <f>'Para Histograma'!Z579</f>
        <v>0</v>
      </c>
      <c r="S51" s="1357">
        <f>'Para Histograma'!AA579</f>
        <v>0</v>
      </c>
      <c r="T51" s="1357">
        <f>'Para Histograma'!AB579</f>
        <v>0</v>
      </c>
      <c r="U51" s="1357">
        <f>'Para Histograma'!AC579</f>
        <v>0</v>
      </c>
    </row>
    <row r="52" spans="2:21">
      <c r="B52" s="1359"/>
      <c r="C52" s="1360" t="inlineStr">
        <is>
          <t xml:space="preserve">Act.</t>
        </is>
      </c>
      <c r="D52" s="1491"/>
      <c r="E52" s="1491"/>
      <c r="F52" s="1491"/>
      <c r="G52" s="1491"/>
      <c r="H52" s="1491"/>
      <c r="I52" s="1491"/>
      <c r="J52" s="1491"/>
      <c r="K52" s="1491"/>
      <c r="L52" s="1491"/>
      <c r="M52" s="1491"/>
      <c r="N52" s="1491"/>
      <c r="O52" s="1491"/>
      <c r="P52" s="1491"/>
      <c r="Q52" s="1491"/>
      <c r="R52" s="1491"/>
      <c r="S52" s="1491"/>
      <c r="T52" s="1491"/>
      <c r="U52" s="1491"/>
    </row>
    <row r="53" spans="2:21">
      <c r="B53" s="1499" t="str">
        <f>'Para Histograma'!D580&amp;"  ("&amp;'Para Histograma'!E580&amp;")"</f>
        <v>OFICIAL  (CIVIL)</v>
      </c>
      <c r="C53" s="1356" t="inlineStr">
        <is>
          <t xml:space="preserve">Plan</t>
        </is>
      </c>
      <c r="D53" s="1357">
        <f>'Para Histograma'!L580</f>
        <v>0</v>
      </c>
      <c r="E53" s="1357">
        <f>'Para Histograma'!M580</f>
        <v>0</v>
      </c>
      <c r="F53" s="1357">
        <f>'Para Histograma'!N580</f>
        <v>1</v>
      </c>
      <c r="G53" s="1357">
        <f>'Para Histograma'!O580</f>
        <v>1</v>
      </c>
      <c r="H53" s="1357">
        <f>'Para Histograma'!P580</f>
        <v>1</v>
      </c>
      <c r="I53" s="1357">
        <f>'Para Histograma'!Q580</f>
        <v>1</v>
      </c>
      <c r="J53" s="1357">
        <f>'Para Histograma'!R580</f>
        <v>0</v>
      </c>
      <c r="K53" s="1357">
        <f>'Para Histograma'!S580</f>
        <v>0</v>
      </c>
      <c r="L53" s="1357">
        <f>'Para Histograma'!T580</f>
        <v>0</v>
      </c>
      <c r="M53" s="1357">
        <f>'Para Histograma'!U580</f>
        <v>0</v>
      </c>
      <c r="N53" s="1357">
        <f>'Para Histograma'!V580</f>
        <v>0</v>
      </c>
      <c r="O53" s="1357">
        <f>'Para Histograma'!W580</f>
        <v>0</v>
      </c>
      <c r="P53" s="1357">
        <f>'Para Histograma'!X580</f>
        <v>0</v>
      </c>
      <c r="Q53" s="1357">
        <f>'Para Histograma'!Y580</f>
        <v>0</v>
      </c>
      <c r="R53" s="1357">
        <f>'Para Histograma'!Z580</f>
        <v>0</v>
      </c>
      <c r="S53" s="1357">
        <f>'Para Histograma'!AA580</f>
        <v>0</v>
      </c>
      <c r="T53" s="1357">
        <f>'Para Histograma'!AB580</f>
        <v>0</v>
      </c>
      <c r="U53" s="1357">
        <f>'Para Histograma'!AC580</f>
        <v>0</v>
      </c>
    </row>
    <row r="54" spans="2:21">
      <c r="B54" s="1359"/>
      <c r="C54" s="1360" t="inlineStr">
        <is>
          <t xml:space="preserve">Act.</t>
        </is>
      </c>
      <c r="D54" s="1491"/>
      <c r="E54" s="1491"/>
      <c r="F54" s="1491"/>
      <c r="G54" s="1491"/>
      <c r="H54" s="1491"/>
      <c r="I54" s="1491"/>
      <c r="J54" s="1491"/>
      <c r="K54" s="1491"/>
      <c r="L54" s="1491"/>
      <c r="M54" s="1491"/>
      <c r="N54" s="1491"/>
      <c r="O54" s="1491"/>
      <c r="P54" s="1491"/>
      <c r="Q54" s="1491"/>
      <c r="R54" s="1491"/>
      <c r="S54" s="1491"/>
      <c r="T54" s="1491"/>
      <c r="U54" s="1491"/>
    </row>
    <row r="55" spans="2:21">
      <c r="B55" s="1499" t="str">
        <f>'Para Histograma'!D581&amp;"  ("&amp;'Para Histograma'!E581&amp;")"</f>
        <v>CAPATAZ  (MECÁNICO)</v>
      </c>
      <c r="C55" s="1356" t="inlineStr">
        <is>
          <t xml:space="preserve">Plan</t>
        </is>
      </c>
      <c r="D55" s="1357">
        <f>'Para Histograma'!L581</f>
        <v>0</v>
      </c>
      <c r="E55" s="1357">
        <f>'Para Histograma'!M581</f>
        <v>0</v>
      </c>
      <c r="F55" s="1357">
        <f>'Para Histograma'!N581</f>
        <v>0</v>
      </c>
      <c r="G55" s="1357">
        <f>'Para Histograma'!O581</f>
        <v>0</v>
      </c>
      <c r="H55" s="1357">
        <f>'Para Histograma'!P581</f>
        <v>0</v>
      </c>
      <c r="I55" s="1357">
        <f>'Para Histograma'!Q581</f>
        <v>1</v>
      </c>
      <c r="J55" s="1357">
        <f>'Para Histograma'!R581</f>
        <v>1</v>
      </c>
      <c r="K55" s="1357">
        <f>'Para Histograma'!S581</f>
        <v>1</v>
      </c>
      <c r="L55" s="1357">
        <f>'Para Histograma'!T581</f>
        <v>1</v>
      </c>
      <c r="M55" s="1357">
        <f>'Para Histograma'!U581</f>
        <v>0</v>
      </c>
      <c r="N55" s="1357">
        <f>'Para Histograma'!V581</f>
        <v>0</v>
      </c>
      <c r="O55" s="1357">
        <f>'Para Histograma'!W581</f>
        <v>0</v>
      </c>
      <c r="P55" s="1357">
        <f>'Para Histograma'!X581</f>
        <v>0</v>
      </c>
      <c r="Q55" s="1357">
        <f>'Para Histograma'!Y581</f>
        <v>0</v>
      </c>
      <c r="R55" s="1357">
        <f>'Para Histograma'!Z581</f>
        <v>0</v>
      </c>
      <c r="S55" s="1357">
        <f>'Para Histograma'!AA581</f>
        <v>0</v>
      </c>
      <c r="T55" s="1357">
        <f>'Para Histograma'!AB581</f>
        <v>0</v>
      </c>
      <c r="U55" s="1357">
        <f>'Para Histograma'!AC581</f>
        <v>0</v>
      </c>
    </row>
    <row r="56" spans="2:21">
      <c r="B56" s="1359"/>
      <c r="C56" s="1360" t="inlineStr">
        <is>
          <t xml:space="preserve">Act.</t>
        </is>
      </c>
      <c r="D56" s="1491"/>
      <c r="E56" s="1491"/>
      <c r="F56" s="1491"/>
      <c r="G56" s="1491"/>
      <c r="H56" s="1491"/>
      <c r="I56" s="1491"/>
      <c r="J56" s="1491"/>
      <c r="K56" s="1491"/>
      <c r="L56" s="1491"/>
      <c r="M56" s="1491"/>
      <c r="N56" s="1491"/>
      <c r="O56" s="1491"/>
      <c r="P56" s="1491"/>
      <c r="Q56" s="1491"/>
      <c r="R56" s="1491"/>
      <c r="S56" s="1491"/>
      <c r="T56" s="1491"/>
      <c r="U56" s="1491"/>
    </row>
    <row r="57" spans="2:21">
      <c r="B57" s="1499" t="str">
        <f>'Para Histograma'!D582&amp;"  ("&amp;'Para Histograma'!E582&amp;")"</f>
        <v>OPERARIO  (MECÁNICO)</v>
      </c>
      <c r="C57" s="1356" t="inlineStr">
        <is>
          <t xml:space="preserve">Plan</t>
        </is>
      </c>
      <c r="D57" s="1357">
        <f>'Para Histograma'!L582</f>
        <v>0</v>
      </c>
      <c r="E57" s="1357">
        <f>'Para Histograma'!M582</f>
        <v>0</v>
      </c>
      <c r="F57" s="1357">
        <f>'Para Histograma'!N582</f>
        <v>0</v>
      </c>
      <c r="G57" s="1357">
        <f>'Para Histograma'!O582</f>
        <v>0</v>
      </c>
      <c r="H57" s="1357">
        <f>'Para Histograma'!P582</f>
        <v>0</v>
      </c>
      <c r="I57" s="1357">
        <f>'Para Histograma'!Q582</f>
        <v>1</v>
      </c>
      <c r="J57" s="1357">
        <f>'Para Histograma'!R582</f>
        <v>1</v>
      </c>
      <c r="K57" s="1357">
        <f>'Para Histograma'!S582</f>
        <v>1</v>
      </c>
      <c r="L57" s="1357">
        <f>'Para Histograma'!T582</f>
        <v>3</v>
      </c>
      <c r="M57" s="1357">
        <f>'Para Histograma'!U582</f>
        <v>3</v>
      </c>
      <c r="N57" s="1357">
        <f>'Para Histograma'!V582</f>
        <v>3</v>
      </c>
      <c r="O57" s="1357">
        <f>'Para Histograma'!W582</f>
        <v>4</v>
      </c>
      <c r="P57" s="1357">
        <f>'Para Histograma'!X582</f>
        <v>4</v>
      </c>
      <c r="Q57" s="1357">
        <f>'Para Histograma'!Y582</f>
        <v>4</v>
      </c>
      <c r="R57" s="1357">
        <f>'Para Histograma'!Z582</f>
        <v>4</v>
      </c>
      <c r="S57" s="1357">
        <f>'Para Histograma'!AA582</f>
        <v>2</v>
      </c>
      <c r="T57" s="1357">
        <f>'Para Histograma'!AB582</f>
        <v>1</v>
      </c>
      <c r="U57" s="1357">
        <f>'Para Histograma'!AC582</f>
        <v>0</v>
      </c>
    </row>
    <row r="58" spans="2:21">
      <c r="B58" s="1359"/>
      <c r="C58" s="1360" t="inlineStr">
        <is>
          <t xml:space="preserve">Act.</t>
        </is>
      </c>
      <c r="D58" s="1491"/>
      <c r="E58" s="1491"/>
      <c r="F58" s="1491"/>
      <c r="G58" s="1491"/>
      <c r="H58" s="1491"/>
      <c r="I58" s="1491"/>
      <c r="J58" s="1491"/>
      <c r="K58" s="1491"/>
      <c r="L58" s="1491"/>
      <c r="M58" s="1491"/>
      <c r="N58" s="1491"/>
      <c r="O58" s="1491"/>
      <c r="P58" s="1491"/>
      <c r="Q58" s="1491"/>
      <c r="R58" s="1491"/>
      <c r="S58" s="1491"/>
      <c r="T58" s="1491"/>
      <c r="U58" s="1491"/>
    </row>
    <row r="59" spans="2:21">
      <c r="B59" s="1499" t="str">
        <f>'Para Histograma'!D583&amp;"  ("&amp;'Para Histograma'!E583&amp;")"</f>
        <v>AYUDANTE  (MECÁNICO)</v>
      </c>
      <c r="C59" s="1356" t="inlineStr">
        <is>
          <t xml:space="preserve">Plan</t>
        </is>
      </c>
      <c r="D59" s="1357">
        <f>'Para Histograma'!L583</f>
        <v>0</v>
      </c>
      <c r="E59" s="1357">
        <f>'Para Histograma'!M583</f>
        <v>0</v>
      </c>
      <c r="F59" s="1357">
        <f>'Para Histograma'!N583</f>
        <v>0</v>
      </c>
      <c r="G59" s="1357">
        <f>'Para Histograma'!O583</f>
        <v>0</v>
      </c>
      <c r="H59" s="1357">
        <f>'Para Histograma'!P583</f>
        <v>0</v>
      </c>
      <c r="I59" s="1357">
        <f>'Para Histograma'!Q583</f>
        <v>1</v>
      </c>
      <c r="J59" s="1357">
        <f>'Para Histograma'!R583</f>
        <v>1</v>
      </c>
      <c r="K59" s="1357">
        <f>'Para Histograma'!S583</f>
        <v>1</v>
      </c>
      <c r="L59" s="1357">
        <f>'Para Histograma'!T583</f>
        <v>3</v>
      </c>
      <c r="M59" s="1357">
        <f>'Para Histograma'!U583</f>
        <v>4</v>
      </c>
      <c r="N59" s="1357">
        <f>'Para Histograma'!V583</f>
        <v>4</v>
      </c>
      <c r="O59" s="1357">
        <f>'Para Histograma'!W583</f>
        <v>4</v>
      </c>
      <c r="P59" s="1357">
        <f>'Para Histograma'!X583</f>
        <v>4</v>
      </c>
      <c r="Q59" s="1357">
        <f>'Para Histograma'!Y583</f>
        <v>3</v>
      </c>
      <c r="R59" s="1357">
        <f>'Para Histograma'!Z583</f>
        <v>3</v>
      </c>
      <c r="S59" s="1357">
        <f>'Para Histograma'!AA583</f>
        <v>2</v>
      </c>
      <c r="T59" s="1357">
        <f>'Para Histograma'!AB583</f>
        <v>2</v>
      </c>
      <c r="U59" s="1357">
        <f>'Para Histograma'!AC583</f>
        <v>0</v>
      </c>
    </row>
    <row r="60" spans="2:21">
      <c r="B60" s="1359"/>
      <c r="C60" s="1360" t="inlineStr">
        <is>
          <t xml:space="preserve">Act.</t>
        </is>
      </c>
      <c r="D60" s="1491"/>
      <c r="E60" s="1491"/>
      <c r="F60" s="1491"/>
      <c r="G60" s="1491"/>
      <c r="H60" s="1491"/>
      <c r="I60" s="1491"/>
      <c r="J60" s="1491"/>
      <c r="K60" s="1491"/>
      <c r="L60" s="1491"/>
      <c r="M60" s="1491"/>
      <c r="N60" s="1491"/>
      <c r="O60" s="1491"/>
      <c r="P60" s="1491"/>
      <c r="Q60" s="1491"/>
      <c r="R60" s="1491"/>
      <c r="S60" s="1491"/>
      <c r="T60" s="1491"/>
      <c r="U60" s="1491"/>
    </row>
    <row r="61" spans="2:21">
      <c r="B61" s="1499" t="str">
        <f>'Para Histograma'!D584&amp;"  ("&amp;'Para Histograma'!E584&amp;")"</f>
        <v>SOLDADOR  (MECÁNICO)</v>
      </c>
      <c r="C61" s="1356" t="inlineStr">
        <is>
          <t xml:space="preserve">Plan</t>
        </is>
      </c>
      <c r="D61" s="1357">
        <f>'Para Histograma'!L584</f>
        <v>0</v>
      </c>
      <c r="E61" s="1357">
        <f>'Para Histograma'!M584</f>
        <v>0</v>
      </c>
      <c r="F61" s="1357">
        <f>'Para Histograma'!N584</f>
        <v>0</v>
      </c>
      <c r="G61" s="1357">
        <f>'Para Histograma'!O584</f>
        <v>0</v>
      </c>
      <c r="H61" s="1357">
        <f>'Para Histograma'!P584</f>
        <v>0</v>
      </c>
      <c r="I61" s="1357">
        <f>'Para Histograma'!Q584</f>
        <v>0</v>
      </c>
      <c r="J61" s="1357">
        <f>'Para Histograma'!R584</f>
        <v>0</v>
      </c>
      <c r="K61" s="1357">
        <f>'Para Histograma'!S584</f>
        <v>2</v>
      </c>
      <c r="L61" s="1357">
        <f>'Para Histograma'!T584</f>
        <v>2</v>
      </c>
      <c r="M61" s="1357">
        <f>'Para Histograma'!U584</f>
        <v>2</v>
      </c>
      <c r="N61" s="1357">
        <f>'Para Histograma'!V584</f>
        <v>2</v>
      </c>
      <c r="O61" s="1357">
        <f>'Para Histograma'!W584</f>
        <v>2</v>
      </c>
      <c r="P61" s="1357">
        <f>'Para Histograma'!X584</f>
        <v>2</v>
      </c>
      <c r="Q61" s="1357">
        <f>'Para Histograma'!Y584</f>
        <v>2</v>
      </c>
      <c r="R61" s="1357">
        <f>'Para Histograma'!Z584</f>
        <v>2</v>
      </c>
      <c r="S61" s="1357">
        <f>'Para Histograma'!AA584</f>
        <v>2</v>
      </c>
      <c r="T61" s="1357">
        <f>'Para Histograma'!AB584</f>
        <v>0</v>
      </c>
      <c r="U61" s="1357">
        <f>'Para Histograma'!AC584</f>
        <v>0</v>
      </c>
    </row>
    <row r="62" spans="2:21">
      <c r="B62" s="1359"/>
      <c r="C62" s="1360" t="inlineStr">
        <is>
          <t xml:space="preserve">Act.</t>
        </is>
      </c>
      <c r="D62" s="1491"/>
      <c r="E62" s="1491"/>
      <c r="F62" s="1491"/>
      <c r="G62" s="1491"/>
      <c r="H62" s="1491"/>
      <c r="I62" s="1491"/>
      <c r="J62" s="1491"/>
      <c r="K62" s="1491"/>
      <c r="L62" s="1491"/>
      <c r="M62" s="1491"/>
      <c r="N62" s="1491"/>
      <c r="O62" s="1491"/>
      <c r="P62" s="1491"/>
      <c r="Q62" s="1491"/>
      <c r="R62" s="1491"/>
      <c r="S62" s="1491"/>
      <c r="T62" s="1491"/>
      <c r="U62" s="1491"/>
    </row>
    <row r="63" spans="2:21">
      <c r="B63" s="1499" t="str">
        <f>'Para Histograma'!D585&amp;"  ("&amp;'Para Histograma'!E585&amp;")"</f>
        <v>CAPATAZ  (ELÉCTRICO)</v>
      </c>
      <c r="C63" s="1356" t="inlineStr">
        <is>
          <t xml:space="preserve">Plan</t>
        </is>
      </c>
      <c r="D63" s="1357">
        <f>'Para Histograma'!L585</f>
        <v>0</v>
      </c>
      <c r="E63" s="1357">
        <f>'Para Histograma'!M585</f>
        <v>0</v>
      </c>
      <c r="F63" s="1357">
        <f>'Para Histograma'!N585</f>
        <v>0</v>
      </c>
      <c r="G63" s="1357">
        <f>'Para Histograma'!O585</f>
        <v>0</v>
      </c>
      <c r="H63" s="1357">
        <f>'Para Histograma'!P585</f>
        <v>0</v>
      </c>
      <c r="I63" s="1357">
        <f>'Para Histograma'!Q585</f>
        <v>1</v>
      </c>
      <c r="J63" s="1357">
        <f>'Para Histograma'!R585</f>
        <v>1</v>
      </c>
      <c r="K63" s="1357">
        <f>'Para Histograma'!S585</f>
        <v>1</v>
      </c>
      <c r="L63" s="1357">
        <f>'Para Histograma'!T585</f>
        <v>1</v>
      </c>
      <c r="M63" s="1357">
        <f>'Para Histograma'!U585</f>
        <v>0</v>
      </c>
      <c r="N63" s="1357">
        <f>'Para Histograma'!V585</f>
        <v>0</v>
      </c>
      <c r="O63" s="1357">
        <f>'Para Histograma'!W585</f>
        <v>0</v>
      </c>
      <c r="P63" s="1357">
        <f>'Para Histograma'!X585</f>
        <v>0</v>
      </c>
      <c r="Q63" s="1357">
        <f>'Para Histograma'!Y585</f>
        <v>0</v>
      </c>
      <c r="R63" s="1357">
        <f>'Para Histograma'!Z585</f>
        <v>0</v>
      </c>
      <c r="S63" s="1357">
        <f>'Para Histograma'!AA585</f>
        <v>0</v>
      </c>
      <c r="T63" s="1357">
        <f>'Para Histograma'!AB585</f>
        <v>0</v>
      </c>
      <c r="U63" s="1357">
        <f>'Para Histograma'!AC585</f>
        <v>0</v>
      </c>
    </row>
    <row r="64" spans="2:21">
      <c r="B64" s="1359"/>
      <c r="C64" s="1360" t="inlineStr">
        <is>
          <t xml:space="preserve">Act.</t>
        </is>
      </c>
      <c r="D64" s="1491"/>
      <c r="E64" s="1491"/>
      <c r="F64" s="1491"/>
      <c r="G64" s="1491"/>
      <c r="H64" s="1491"/>
      <c r="I64" s="1491"/>
      <c r="J64" s="1491"/>
      <c r="K64" s="1491"/>
      <c r="L64" s="1491"/>
      <c r="M64" s="1491"/>
      <c r="N64" s="1491"/>
      <c r="O64" s="1491"/>
      <c r="P64" s="1491"/>
      <c r="Q64" s="1491"/>
      <c r="R64" s="1491"/>
      <c r="S64" s="1491"/>
      <c r="T64" s="1491"/>
      <c r="U64" s="1491"/>
    </row>
    <row r="65" spans="2:21">
      <c r="B65" s="1499" t="str">
        <f>'Para Histograma'!D586&amp;"  ("&amp;'Para Histograma'!E586&amp;")"</f>
        <v>OPERARIO  (ELÉCTRICO)</v>
      </c>
      <c r="C65" s="1356" t="inlineStr">
        <is>
          <t xml:space="preserve">Plan</t>
        </is>
      </c>
      <c r="D65" s="1357">
        <f>'Para Histograma'!L586</f>
        <v>0</v>
      </c>
      <c r="E65" s="1357">
        <f>'Para Histograma'!M586</f>
        <v>0</v>
      </c>
      <c r="F65" s="1357">
        <f>'Para Histograma'!N586</f>
        <v>0</v>
      </c>
      <c r="G65" s="1357">
        <f>'Para Histograma'!O586</f>
        <v>0</v>
      </c>
      <c r="H65" s="1357">
        <f>'Para Histograma'!P586</f>
        <v>0</v>
      </c>
      <c r="I65" s="1357">
        <f>'Para Histograma'!Q586</f>
        <v>1</v>
      </c>
      <c r="J65" s="1357">
        <f>'Para Histograma'!R586</f>
        <v>2</v>
      </c>
      <c r="K65" s="1357">
        <f>'Para Histograma'!S586</f>
        <v>3</v>
      </c>
      <c r="L65" s="1357">
        <f>'Para Histograma'!T586</f>
        <v>3</v>
      </c>
      <c r="M65" s="1357">
        <f>'Para Histograma'!U586</f>
        <v>3</v>
      </c>
      <c r="N65" s="1357">
        <f>'Para Histograma'!V586</f>
        <v>4</v>
      </c>
      <c r="O65" s="1357">
        <f>'Para Histograma'!W586</f>
        <v>4</v>
      </c>
      <c r="P65" s="1357">
        <f>'Para Histograma'!X586</f>
        <v>4</v>
      </c>
      <c r="Q65" s="1357">
        <f>'Para Histograma'!Y586</f>
        <v>4</v>
      </c>
      <c r="R65" s="1357">
        <f>'Para Histograma'!Z586</f>
        <v>2</v>
      </c>
      <c r="S65" s="1357">
        <f>'Para Histograma'!AA586</f>
        <v>2</v>
      </c>
      <c r="T65" s="1357">
        <f>'Para Histograma'!AB586</f>
        <v>1</v>
      </c>
      <c r="U65" s="1357">
        <f>'Para Histograma'!AC586</f>
        <v>0</v>
      </c>
    </row>
    <row r="66" spans="2:21">
      <c r="B66" s="1359"/>
      <c r="C66" s="1360" t="inlineStr">
        <is>
          <t xml:space="preserve">Act.</t>
        </is>
      </c>
      <c r="D66" s="1491"/>
      <c r="E66" s="1491"/>
      <c r="F66" s="1491"/>
      <c r="G66" s="1491"/>
      <c r="H66" s="1491"/>
      <c r="I66" s="1491"/>
      <c r="J66" s="1491"/>
      <c r="K66" s="1491"/>
      <c r="L66" s="1491"/>
      <c r="M66" s="1491"/>
      <c r="N66" s="1491"/>
      <c r="O66" s="1491"/>
      <c r="P66" s="1491"/>
      <c r="Q66" s="1491"/>
      <c r="R66" s="1491"/>
      <c r="S66" s="1491"/>
      <c r="T66" s="1491"/>
      <c r="U66" s="1491"/>
    </row>
    <row r="67" spans="2:21">
      <c r="B67" s="1499" t="str">
        <f>'Para Histograma'!D587&amp;"  ("&amp;'Para Histograma'!E587&amp;")"</f>
        <v>AYUDANTE  (ELÉCTRICO)</v>
      </c>
      <c r="C67" s="1356" t="inlineStr">
        <is>
          <t xml:space="preserve">Plan</t>
        </is>
      </c>
      <c r="D67" s="1357">
        <f>'Para Histograma'!L587</f>
        <v>0</v>
      </c>
      <c r="E67" s="1357">
        <f>'Para Histograma'!M587</f>
        <v>0</v>
      </c>
      <c r="F67" s="1357">
        <f>'Para Histograma'!N587</f>
        <v>0</v>
      </c>
      <c r="G67" s="1357">
        <f>'Para Histograma'!O587</f>
        <v>0</v>
      </c>
      <c r="H67" s="1357">
        <f>'Para Histograma'!P587</f>
        <v>0</v>
      </c>
      <c r="I67" s="1357">
        <f>'Para Histograma'!Q587</f>
        <v>1</v>
      </c>
      <c r="J67" s="1357">
        <f>'Para Histograma'!R587</f>
        <v>2</v>
      </c>
      <c r="K67" s="1357">
        <f>'Para Histograma'!S587</f>
        <v>2</v>
      </c>
      <c r="L67" s="1357">
        <f>'Para Histograma'!T587</f>
        <v>2</v>
      </c>
      <c r="M67" s="1357">
        <f>'Para Histograma'!U587</f>
        <v>3</v>
      </c>
      <c r="N67" s="1357">
        <f>'Para Histograma'!V587</f>
        <v>5</v>
      </c>
      <c r="O67" s="1357">
        <f>'Para Histograma'!W587</f>
        <v>5</v>
      </c>
      <c r="P67" s="1357">
        <f>'Para Histograma'!X587</f>
        <v>5</v>
      </c>
      <c r="Q67" s="1357">
        <f>'Para Histograma'!Y587</f>
        <v>5</v>
      </c>
      <c r="R67" s="1357">
        <f>'Para Histograma'!Z587</f>
        <v>1</v>
      </c>
      <c r="S67" s="1357">
        <f>'Para Histograma'!AA587</f>
        <v>1</v>
      </c>
      <c r="T67" s="1357">
        <f>'Para Histograma'!AB587</f>
        <v>0</v>
      </c>
      <c r="U67" s="1357">
        <f>'Para Histograma'!AC587</f>
        <v>0</v>
      </c>
    </row>
    <row r="68" spans="2:21">
      <c r="B68" s="1359"/>
      <c r="C68" s="1360" t="inlineStr">
        <is>
          <t xml:space="preserve">Act.</t>
        </is>
      </c>
      <c r="D68" s="1491"/>
      <c r="E68" s="1491"/>
      <c r="F68" s="1491"/>
      <c r="G68" s="1491"/>
      <c r="H68" s="1491"/>
      <c r="I68" s="1491"/>
      <c r="J68" s="1491"/>
      <c r="K68" s="1491"/>
      <c r="L68" s="1491"/>
      <c r="M68" s="1491"/>
      <c r="N68" s="1491"/>
      <c r="O68" s="1491"/>
      <c r="P68" s="1491"/>
      <c r="Q68" s="1491"/>
      <c r="R68" s="1491"/>
      <c r="S68" s="1491"/>
      <c r="T68" s="1491"/>
      <c r="U68" s="1491"/>
    </row>
    <row r="69" spans="2:21">
      <c r="B69" s="1499" t="str">
        <f>'Para Histograma'!D588&amp;"  ("&amp;'Para Histograma'!E588&amp;")"</f>
        <v>CAPATAZ ELECTRICISTA  (ELÉCTRICO)</v>
      </c>
      <c r="C69" s="1356" t="inlineStr">
        <is>
          <t xml:space="preserve">Plan</t>
        </is>
      </c>
      <c r="D69" s="1357">
        <f>'Para Histograma'!L588</f>
        <v>0</v>
      </c>
      <c r="E69" s="1357">
        <f>'Para Histograma'!M588</f>
        <v>0</v>
      </c>
      <c r="F69" s="1357">
        <f>'Para Histograma'!N588</f>
        <v>0</v>
      </c>
      <c r="G69" s="1357">
        <f>'Para Histograma'!O588</f>
        <v>0</v>
      </c>
      <c r="H69" s="1357">
        <f>'Para Histograma'!P588</f>
        <v>0</v>
      </c>
      <c r="I69" s="1357">
        <f>'Para Histograma'!Q588</f>
        <v>0</v>
      </c>
      <c r="J69" s="1357">
        <f>'Para Histograma'!R588</f>
        <v>0</v>
      </c>
      <c r="K69" s="1357">
        <f>'Para Histograma'!S588</f>
        <v>1</v>
      </c>
      <c r="L69" s="1357">
        <f>'Para Histograma'!T588</f>
        <v>1</v>
      </c>
      <c r="M69" s="1357">
        <f>'Para Histograma'!U588</f>
        <v>1</v>
      </c>
      <c r="N69" s="1357">
        <f>'Para Histograma'!V588</f>
        <v>1</v>
      </c>
      <c r="O69" s="1357">
        <f>'Para Histograma'!W588</f>
        <v>0</v>
      </c>
      <c r="P69" s="1357">
        <f>'Para Histograma'!X588</f>
        <v>0</v>
      </c>
      <c r="Q69" s="1357">
        <f>'Para Histograma'!Y588</f>
        <v>0</v>
      </c>
      <c r="R69" s="1357">
        <f>'Para Histograma'!Z588</f>
        <v>0</v>
      </c>
      <c r="S69" s="1357">
        <f>'Para Histograma'!AA588</f>
        <v>0</v>
      </c>
      <c r="T69" s="1357">
        <f>'Para Histograma'!AB588</f>
        <v>0</v>
      </c>
      <c r="U69" s="1357">
        <f>'Para Histograma'!AC588</f>
        <v>0</v>
      </c>
    </row>
    <row r="70" spans="2:21">
      <c r="B70" s="1359"/>
      <c r="C70" s="1360" t="inlineStr">
        <is>
          <t xml:space="preserve">Act.</t>
        </is>
      </c>
      <c r="D70" s="1491"/>
      <c r="E70" s="1491"/>
      <c r="F70" s="1491"/>
      <c r="G70" s="1491"/>
      <c r="H70" s="1491"/>
      <c r="I70" s="1491"/>
      <c r="J70" s="1491"/>
      <c r="K70" s="1491"/>
      <c r="L70" s="1491"/>
      <c r="M70" s="1491"/>
      <c r="N70" s="1491"/>
      <c r="O70" s="1491"/>
      <c r="P70" s="1491"/>
      <c r="Q70" s="1491"/>
      <c r="R70" s="1491"/>
      <c r="S70" s="1491"/>
      <c r="T70" s="1491"/>
      <c r="U70" s="1491"/>
    </row>
    <row r="71" spans="2:21">
      <c r="B71" s="1499" t="str">
        <f>'Para Histograma'!D589&amp;"  ("&amp;'Para Histograma'!E589&amp;")"</f>
        <v>OPERARIO ELECTRICISTA  (ELÉCTRICO)</v>
      </c>
      <c r="C71" s="1356" t="inlineStr">
        <is>
          <t xml:space="preserve">Plan</t>
        </is>
      </c>
      <c r="D71" s="1357">
        <f>'Para Histograma'!L589</f>
        <v>0</v>
      </c>
      <c r="E71" s="1357">
        <f>'Para Histograma'!M589</f>
        <v>0</v>
      </c>
      <c r="F71" s="1357">
        <f>'Para Histograma'!N589</f>
        <v>0</v>
      </c>
      <c r="G71" s="1357">
        <f>'Para Histograma'!O589</f>
        <v>0</v>
      </c>
      <c r="H71" s="1357">
        <f>'Para Histograma'!P589</f>
        <v>0</v>
      </c>
      <c r="I71" s="1357">
        <f>'Para Histograma'!Q589</f>
        <v>0</v>
      </c>
      <c r="J71" s="1357">
        <f>'Para Histograma'!R589</f>
        <v>0</v>
      </c>
      <c r="K71" s="1357">
        <f>'Para Histograma'!S589</f>
        <v>0</v>
      </c>
      <c r="L71" s="1357">
        <f>'Para Histograma'!T589</f>
        <v>0</v>
      </c>
      <c r="M71" s="1357">
        <f>'Para Histograma'!U589</f>
        <v>0</v>
      </c>
      <c r="N71" s="1357">
        <f>'Para Histograma'!V589</f>
        <v>1</v>
      </c>
      <c r="O71" s="1357">
        <f>'Para Histograma'!W589</f>
        <v>1</v>
      </c>
      <c r="P71" s="1357">
        <f>'Para Histograma'!X589</f>
        <v>1</v>
      </c>
      <c r="Q71" s="1357">
        <f>'Para Histograma'!Y589</f>
        <v>1</v>
      </c>
      <c r="R71" s="1357">
        <f>'Para Histograma'!Z589</f>
        <v>0</v>
      </c>
      <c r="S71" s="1357">
        <f>'Para Histograma'!AA589</f>
        <v>0</v>
      </c>
      <c r="T71" s="1357">
        <f>'Para Histograma'!AB589</f>
        <v>0</v>
      </c>
      <c r="U71" s="1357">
        <f>'Para Histograma'!AC589</f>
        <v>0</v>
      </c>
    </row>
    <row r="72" spans="2:21">
      <c r="B72" s="1359"/>
      <c r="C72" s="1360" t="inlineStr">
        <is>
          <t xml:space="preserve">Act.</t>
        </is>
      </c>
      <c r="D72" s="1491"/>
      <c r="E72" s="1491"/>
      <c r="F72" s="1491"/>
      <c r="G72" s="1491"/>
      <c r="H72" s="1491"/>
      <c r="I72" s="1491"/>
      <c r="J72" s="1491"/>
      <c r="K72" s="1491"/>
      <c r="L72" s="1491"/>
      <c r="M72" s="1491"/>
      <c r="N72" s="1491"/>
      <c r="O72" s="1491"/>
      <c r="P72" s="1491"/>
      <c r="Q72" s="1491"/>
      <c r="R72" s="1491"/>
      <c r="S72" s="1491"/>
      <c r="T72" s="1491"/>
      <c r="U72" s="1491"/>
    </row>
    <row r="73" spans="2:21" ht="16.5" thickBot="1">
      <c r="B73" s="1367"/>
      <c r="C73" s="1178"/>
      <c r="D73" s="1178"/>
      <c r="E73" s="1178"/>
      <c r="F73" s="1178"/>
      <c r="G73" s="1178"/>
      <c r="H73" s="1178"/>
      <c r="I73" s="1178"/>
      <c r="J73" s="1178"/>
      <c r="K73" s="1178"/>
      <c r="L73" s="1178"/>
      <c r="M73" s="1178"/>
      <c r="N73" s="1178"/>
      <c r="O73" s="1178"/>
      <c r="P73" s="1178"/>
      <c r="Q73" s="1178"/>
      <c r="R73" s="1178"/>
      <c r="S73" s="1178"/>
      <c r="T73" s="1178"/>
      <c r="U73" s="1178"/>
    </row>
    <row r="74" spans="2:21">
      <c r="B74" s="1362" t="inlineStr">
        <is>
          <t xml:space="preserve">TOTAL DIRECT</t>
        </is>
      </c>
      <c r="C74" s="1363" t="inlineStr">
        <is>
          <t xml:space="preserve">Plan</t>
        </is>
      </c>
      <c r="D74" s="1364">
        <f>SUMIF($C47:$C72,"Plan",D47:D72)</f>
        <v>0</v>
      </c>
      <c r="E74" s="1364">
        <f t="shared" ref="E74:U74" si="4">SUMIF($C47:$C72,"Plan",E47:E72)</f>
        <v>0</v>
      </c>
      <c r="F74" s="1364">
        <f t="shared" si="4"/>
        <v>1</v>
      </c>
      <c r="G74" s="1364">
        <f t="shared" si="4"/>
        <v>4</v>
      </c>
      <c r="H74" s="1364">
        <f t="shared" si="4"/>
        <v>5</v>
      </c>
      <c r="I74" s="1364">
        <f t="shared" si="4"/>
        <v>11</v>
      </c>
      <c r="J74" s="1364">
        <f t="shared" si="4"/>
        <v>12</v>
      </c>
      <c r="K74" s="1364">
        <f t="shared" si="4"/>
        <v>14</v>
      </c>
      <c r="L74" s="1364">
        <f t="shared" si="4"/>
        <v>18</v>
      </c>
      <c r="M74" s="1364">
        <f t="shared" si="4"/>
        <v>17</v>
      </c>
      <c r="N74" s="1364">
        <f t="shared" si="4"/>
        <v>20</v>
      </c>
      <c r="O74" s="1364">
        <f t="shared" si="4"/>
        <v>20</v>
      </c>
      <c r="P74" s="1364">
        <f t="shared" si="4"/>
        <v>20</v>
      </c>
      <c r="Q74" s="1364">
        <f t="shared" si="4"/>
        <v>19</v>
      </c>
      <c r="R74" s="1364">
        <f t="shared" si="4"/>
        <v>12</v>
      </c>
      <c r="S74" s="1364">
        <f t="shared" si="4"/>
        <v>9</v>
      </c>
      <c r="T74" s="1364">
        <f t="shared" si="4"/>
        <v>4</v>
      </c>
      <c r="U74" s="1364">
        <f t="shared" si="4"/>
        <v>0</v>
      </c>
    </row>
    <row r="75" spans="2:21" ht="16.5" thickBot="1">
      <c r="B75" s="1365"/>
      <c r="C75" s="1366" t="inlineStr">
        <is>
          <t xml:space="preserve">Act.</t>
        </is>
      </c>
      <c r="D75" s="1492">
        <f>SUMIF($C47:$C72,"Act.",D47:D72)</f>
        <v>0</v>
      </c>
      <c r="E75" s="1492">
        <f t="shared" ref="E75:U75" si="5">SUMIF($C47:$C72,"Act.",E47:E72)</f>
        <v>0</v>
      </c>
      <c r="F75" s="1492">
        <f t="shared" si="5"/>
        <v>0</v>
      </c>
      <c r="G75" s="1492">
        <f t="shared" si="5"/>
        <v>1</v>
      </c>
      <c r="H75" s="1492">
        <f t="shared" si="5"/>
        <v>2</v>
      </c>
      <c r="I75" s="1492">
        <f t="shared" si="5"/>
        <v>2</v>
      </c>
      <c r="J75" s="1492">
        <f t="shared" si="5"/>
        <v>2</v>
      </c>
      <c r="K75" s="1492">
        <f t="shared" si="5"/>
        <v>0</v>
      </c>
      <c r="L75" s="1492">
        <f t="shared" si="5"/>
        <v>0</v>
      </c>
      <c r="M75" s="1492">
        <f t="shared" si="5"/>
        <v>0</v>
      </c>
      <c r="N75" s="1492">
        <f t="shared" si="5"/>
        <v>0</v>
      </c>
      <c r="O75" s="1492">
        <f t="shared" si="5"/>
        <v>0</v>
      </c>
      <c r="P75" s="1492">
        <f t="shared" si="5"/>
        <v>0</v>
      </c>
      <c r="Q75" s="1492">
        <f t="shared" si="5"/>
        <v>0</v>
      </c>
      <c r="R75" s="1492">
        <f t="shared" si="5"/>
        <v>0</v>
      </c>
      <c r="S75" s="1492">
        <f t="shared" si="5"/>
        <v>0</v>
      </c>
      <c r="T75" s="1492">
        <f t="shared" si="5"/>
        <v>0</v>
      </c>
      <c r="U75" s="1492">
        <f t="shared" si="5"/>
        <v>0</v>
      </c>
    </row>
    <row r="76" spans="2:21">
      <c r="B76" s="1178"/>
      <c r="C76" s="1178"/>
      <c r="D76" s="1178"/>
      <c r="E76" s="1178"/>
      <c r="F76" s="1178"/>
      <c r="G76" s="1178"/>
      <c r="H76" s="1178"/>
      <c r="I76" s="1178"/>
      <c r="J76" s="1178"/>
      <c r="K76" s="1178"/>
      <c r="L76" s="1178"/>
      <c r="M76" s="1178"/>
      <c r="N76" s="1178"/>
      <c r="O76" s="1178"/>
      <c r="P76" s="1178"/>
      <c r="Q76" s="1178"/>
      <c r="R76" s="1178"/>
      <c r="S76" s="1178"/>
      <c r="T76" s="1178"/>
      <c r="U76" s="1178"/>
    </row>
    <row r="77" spans="2:21" ht="16.5" thickBot="1">
      <c r="B77" s="1178"/>
      <c r="C77" s="1178"/>
      <c r="D77" s="1178"/>
      <c r="E77" s="1178"/>
      <c r="F77" s="1178"/>
      <c r="G77" s="1178"/>
      <c r="H77" s="1178"/>
      <c r="I77" s="1178"/>
      <c r="J77" s="1178"/>
      <c r="K77" s="1178"/>
      <c r="L77" s="1178"/>
      <c r="M77" s="1178"/>
      <c r="N77" s="1178"/>
      <c r="O77" s="1178"/>
      <c r="P77" s="1178"/>
      <c r="Q77" s="1178"/>
      <c r="R77" s="1178"/>
      <c r="S77" s="1178"/>
      <c r="T77" s="1178"/>
      <c r="U77" s="1178"/>
    </row>
    <row r="78" spans="2:21" s="1348" customFormat="1" ht="16.5" customHeight="1" thickBot="1">
      <c r="B78" s="1368" t="inlineStr">
        <is>
          <t xml:space="preserve">OVERALL TOTAL</t>
        </is>
      </c>
      <c r="C78" s="1369"/>
      <c r="D78" s="1370"/>
      <c r="E78" s="1370"/>
      <c r="F78" s="1370"/>
      <c r="G78" s="1370"/>
      <c r="H78" s="1370"/>
      <c r="I78" s="1370"/>
      <c r="J78" s="1370"/>
      <c r="K78" s="1370"/>
      <c r="L78" s="1370"/>
      <c r="M78" s="1370"/>
      <c r="N78" s="1370"/>
      <c r="O78" s="1370"/>
      <c r="P78" s="1370"/>
      <c r="Q78" s="1370"/>
      <c r="R78" s="1370"/>
      <c r="S78" s="1370"/>
      <c r="T78" s="1370"/>
      <c r="U78" s="1370"/>
    </row>
    <row r="79" spans="2:21">
      <c r="B79" s="1371"/>
      <c r="C79" s="1372" t="inlineStr">
        <is>
          <t xml:space="preserve">Plan</t>
        </is>
      </c>
      <c r="D79" s="1373">
        <f t="shared" ref="D79:O79" si="6">D26+D42+D74</f>
        <v>16</v>
      </c>
      <c r="E79" s="1373">
        <f t="shared" si="6"/>
        <v>16</v>
      </c>
      <c r="F79" s="1373">
        <f t="shared" si="6"/>
        <v>17</v>
      </c>
      <c r="G79" s="1373">
        <f t="shared" si="6"/>
        <v>20</v>
      </c>
      <c r="H79" s="1373">
        <f t="shared" si="6"/>
        <v>21</v>
      </c>
      <c r="I79" s="1373">
        <f t="shared" si="6"/>
        <v>27</v>
      </c>
      <c r="J79" s="1373">
        <f t="shared" si="6"/>
        <v>28</v>
      </c>
      <c r="K79" s="1373">
        <f t="shared" si="6"/>
        <v>30</v>
      </c>
      <c r="L79" s="1373">
        <f t="shared" si="6"/>
        <v>34</v>
      </c>
      <c r="M79" s="1373">
        <f t="shared" si="6"/>
        <v>33</v>
      </c>
      <c r="N79" s="1373">
        <f t="shared" si="6"/>
        <v>36</v>
      </c>
      <c r="O79" s="1373">
        <f t="shared" si="6"/>
        <v>36</v>
      </c>
      <c r="P79" s="1373">
        <f t="shared" ref="P79:U79" si="7">P26+P42+P74</f>
        <v>36</v>
      </c>
      <c r="Q79" s="1373">
        <f t="shared" si="7"/>
        <v>35</v>
      </c>
      <c r="R79" s="1373">
        <f t="shared" si="7"/>
        <v>28</v>
      </c>
      <c r="S79" s="1373">
        <f t="shared" si="7"/>
        <v>25</v>
      </c>
      <c r="T79" s="1373">
        <f t="shared" si="7"/>
        <v>20</v>
      </c>
      <c r="U79" s="1373">
        <f t="shared" si="7"/>
        <v>16</v>
      </c>
    </row>
    <row r="80" spans="2:21" ht="16.5" thickBot="1">
      <c r="B80" s="1365"/>
      <c r="C80" s="1366" t="inlineStr">
        <is>
          <t xml:space="preserve">Act.</t>
        </is>
      </c>
      <c r="D80" s="1492">
        <f t="shared" ref="D80:O80" si="8">D27+D43+D75</f>
        <v>0</v>
      </c>
      <c r="E80" s="1492">
        <f t="shared" si="8"/>
        <v>0</v>
      </c>
      <c r="F80" s="1492">
        <f t="shared" si="8"/>
        <v>0</v>
      </c>
      <c r="G80" s="1492">
        <f t="shared" si="8"/>
        <v>14</v>
      </c>
      <c r="H80" s="1492">
        <f t="shared" si="8"/>
        <v>15</v>
      </c>
      <c r="I80" s="1492">
        <f t="shared" si="8"/>
        <v>15</v>
      </c>
      <c r="J80" s="1492">
        <f t="shared" si="8"/>
        <v>15</v>
      </c>
      <c r="K80" s="1492">
        <f t="shared" si="8"/>
        <v>0</v>
      </c>
      <c r="L80" s="1492">
        <f t="shared" si="8"/>
        <v>0</v>
      </c>
      <c r="M80" s="1492">
        <f t="shared" si="8"/>
        <v>0</v>
      </c>
      <c r="N80" s="1492">
        <f t="shared" si="8"/>
        <v>0</v>
      </c>
      <c r="O80" s="1492">
        <f t="shared" si="8"/>
        <v>0</v>
      </c>
      <c r="P80" s="1492">
        <f t="shared" ref="P80:U80" si="9">P27+P43+P75</f>
        <v>0</v>
      </c>
      <c r="Q80" s="1492">
        <f t="shared" si="9"/>
        <v>0</v>
      </c>
      <c r="R80" s="1492">
        <f t="shared" si="9"/>
        <v>0</v>
      </c>
      <c r="S80" s="1492">
        <f t="shared" si="9"/>
        <v>0</v>
      </c>
      <c r="T80" s="1492">
        <f t="shared" si="9"/>
        <v>0</v>
      </c>
      <c r="U80" s="1492">
        <f t="shared" si="9"/>
        <v>0</v>
      </c>
    </row>
    <row r="82" customFormat="1" ht="12.75"/>
    <row r="83" customFormat="1" ht="12.75"/>
    <row r="84" customFormat="1" ht="12.75"/>
    <row r="85" customFormat="1" ht="12.75"/>
    <row r="86" customFormat="1" ht="12.75"/>
    <row r="87" customFormat="1" ht="12.75"/>
    <row r="88" customFormat="1" ht="12.75"/>
    <row r="89" customFormat="1" ht="12.75"/>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12.75"/>
    <row r="118" customFormat="1" ht="12.75"/>
    <row r="119" customFormat="1" ht="12.75"/>
    <row r="120" customFormat="1" ht="12.75"/>
    <row r="121" customFormat="1" ht="12.75"/>
    <row r="122" customFormat="1" ht="12.75"/>
    <row r="123" customFormat="1" ht="12.75"/>
    <row r="124" customFormat="1" ht="12.75"/>
    <row r="125" customFormat="1" ht="12.75"/>
    <row r="126" customFormat="1" ht="12.75"/>
    <row r="127" customFormat="1" ht="12.75"/>
    <row r="128" customFormat="1" ht="12.75"/>
    <row r="129" customFormat="1" ht="12.75"/>
    <row r="130" customFormat="1" ht="12.75"/>
  </sheetData>
  <autoFilter ref="B9:N80" xr:uid="{00000000-0009-0000-0000-000007000000}"/>
  <pageMargins left="0.7" right="0.7" top="0.75" bottom="0.75" header="0.3" footer="0.3"/>
  <pageSetup scale="2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52A9-FC69-4CD4-B052-2D0518C46392}">
  <sheetPr>
    <tabColor rgb="FF00B050"/>
    <pageSetUpPr fitToPage="1"/>
  </sheetPr>
  <dimension ref="B1:U130"/>
  <sheetViews>
    <sheetView topLeftCell="E33" workbookViewId="0">
      <selection sqref="A1:A4"/>
    </sheetView>
  </sheetViews>
  <sheetFormatPr baseColWidth="10" defaultColWidth="9.140625" defaultRowHeight="15.75"/>
  <cols>
    <col min="1" max="1" width="4.140625" style="1381" customWidth="1"/>
    <col min="2" max="2" width="41.85546875" style="1381" customWidth="1"/>
    <col min="3" max="3" width="14.7109375" style="1381" customWidth="1"/>
    <col min="4" max="6" width="12.5703125" style="1381" bestFit="1" customWidth="1"/>
    <col min="7" max="7" width="12.85546875" style="1381" bestFit="1" customWidth="1"/>
    <col min="8" max="8" width="13" style="1381" customWidth="1"/>
    <col min="9" max="15" width="12.85546875" style="1381" bestFit="1" customWidth="1"/>
    <col min="16" max="16" width="12.42578125" style="1381" bestFit="1" customWidth="1"/>
    <col min="17" max="21" width="11.140625" style="1381" customWidth="1"/>
    <col min="22" max="16384" width="9.140625" style="1381"/>
  </cols>
  <sheetData>
    <row r="1" spans="2:21" s="1343" customFormat="1">
      <c r="B1" s="1342"/>
      <c r="C1" s="1342"/>
    </row>
    <row r="2" spans="2:21" s="1343" customFormat="1">
      <c r="B2" s="1344" t="inlineStr">
        <is>
          <t xml:space="preserve">CONSTRUCTION EQUIPMENT SCHEDULE</t>
        </is>
      </c>
      <c r="C2" s="1342"/>
    </row>
    <row r="3" spans="2:21" s="1343" customFormat="1">
      <c r="C3" s="1342"/>
    </row>
    <row r="4" spans="2:21" s="1343" customFormat="1">
      <c r="B4" s="1344" t="inlineStr">
        <is>
          <t xml:space="preserve">Contract No:</t>
        </is>
      </c>
      <c r="C4" s="1345">
        <f>'STAFFING TABULATION CHART'!C4</f>
        <v>0</v>
      </c>
    </row>
    <row r="5" spans="2:21" s="1343" customFormat="1">
      <c r="B5" s="1344" t="inlineStr">
        <is>
          <t xml:space="preserve">Contractor Name:</t>
        </is>
      </c>
      <c r="C5" s="1345" t="str">
        <f>'STAFFING TABULATION CHART'!C5</f>
        <v>CONSORCIO CPQ COLUMBITO</v>
      </c>
    </row>
    <row r="6" spans="2:21" s="1343" customFormat="1">
      <c r="B6" s="1344" t="inlineStr">
        <is>
          <t xml:space="preserve">Description:</t>
        </is>
      </c>
      <c r="C6" s="1345" t="str">
        <f>'STAFFING TABULATION CHART'!C6</f>
        <v>REPOSICION DEL SISTEMA DE FLOCULANTES — LB0</v>
      </c>
    </row>
    <row r="7" spans="2:21" s="1343" customFormat="1">
      <c r="B7" s="1346"/>
      <c r="C7" s="1347"/>
    </row>
    <row r="8" spans="2:21" s="1343" customFormat="1">
      <c r="B8" s="1346"/>
      <c r="C8" s="1344"/>
    </row>
    <row r="9" spans="2:21" s="1348" customFormat="1">
      <c r="B9" s="1344"/>
      <c r="D9" s="1374">
        <f>'PHYSICAL % PROGRESS'!P7</f>
        <v>27</v>
      </c>
      <c r="E9" s="1374">
        <f>'PHYSICAL % PROGRESS'!Q7</f>
        <v>28</v>
      </c>
      <c r="F9" s="1374">
        <f>'PHYSICAL % PROGRESS'!R7</f>
        <v>29</v>
      </c>
      <c r="G9" s="1374">
        <f>'PHYSICAL % PROGRESS'!S7</f>
        <v>30</v>
      </c>
      <c r="H9" s="1374">
        <f>'PHYSICAL % PROGRESS'!T7</f>
        <v>31</v>
      </c>
      <c r="I9" s="1374">
        <f>'PHYSICAL % PROGRESS'!U7</f>
        <v>32</v>
      </c>
      <c r="J9" s="1374">
        <f>'PHYSICAL % PROGRESS'!V7</f>
        <v>33</v>
      </c>
      <c r="K9" s="1374">
        <f>'PHYSICAL % PROGRESS'!W7</f>
        <v>34</v>
      </c>
      <c r="L9" s="1374">
        <f>'PHYSICAL % PROGRESS'!X7</f>
        <v>35</v>
      </c>
      <c r="M9" s="1374">
        <f>'PHYSICAL % PROGRESS'!Y7</f>
        <v>36</v>
      </c>
      <c r="N9" s="1374">
        <f>'PHYSICAL % PROGRESS'!Z7</f>
        <v>37</v>
      </c>
      <c r="O9" s="1374">
        <f>'PHYSICAL % PROGRESS'!AA7</f>
        <v>38</v>
      </c>
      <c r="P9" s="1374">
        <f>'PHYSICAL % PROGRESS'!AB7</f>
        <v>39</v>
      </c>
      <c r="Q9" s="1374">
        <f>'PHYSICAL % PROGRESS'!AC7</f>
        <v>40</v>
      </c>
      <c r="R9" s="1374">
        <f>'PHYSICAL % PROGRESS'!AD7</f>
        <v>41</v>
      </c>
      <c r="S9" s="1374">
        <f>'PHYSICAL % PROGRESS'!AE7</f>
        <v>42</v>
      </c>
      <c r="T9" s="1374">
        <f>'PHYSICAL % PROGRESS'!AF7</f>
        <v>43</v>
      </c>
      <c r="U9" s="1374">
        <f>'PHYSICAL % PROGRESS'!AG7</f>
        <v>44</v>
      </c>
    </row>
    <row r="10" spans="2:21" s="1348" customFormat="1">
      <c r="B10" s="1344"/>
      <c r="D10" s="1375">
        <f>'PHYSICAL % PROGRESS'!P8</f>
        <v>46199</v>
      </c>
      <c r="E10" s="1375">
        <f>'PHYSICAL % PROGRESS'!Q8</f>
        <v>46206</v>
      </c>
      <c r="F10" s="1375">
        <f>'PHYSICAL % PROGRESS'!R8</f>
        <v>46213</v>
      </c>
      <c r="G10" s="1375">
        <f>'PHYSICAL % PROGRESS'!S8</f>
        <v>46220</v>
      </c>
      <c r="H10" s="1375">
        <f>'PHYSICAL % PROGRESS'!T8</f>
        <v>46227</v>
      </c>
      <c r="I10" s="1375">
        <f>'PHYSICAL % PROGRESS'!U8</f>
        <v>46234</v>
      </c>
      <c r="J10" s="1375">
        <f>'PHYSICAL % PROGRESS'!V8</f>
        <v>46241</v>
      </c>
      <c r="K10" s="1375">
        <f>'PHYSICAL % PROGRESS'!W8</f>
        <v>46248</v>
      </c>
      <c r="L10" s="1375">
        <f>'PHYSICAL % PROGRESS'!X8</f>
        <v>46255</v>
      </c>
      <c r="M10" s="1375">
        <f>'PHYSICAL % PROGRESS'!Y8</f>
        <v>46262</v>
      </c>
      <c r="N10" s="1375">
        <f>'PHYSICAL % PROGRESS'!Z8</f>
        <v>46269</v>
      </c>
      <c r="O10" s="1375">
        <f>'PHYSICAL % PROGRESS'!AA8</f>
        <v>46276</v>
      </c>
      <c r="P10" s="1375">
        <f>'PHYSICAL % PROGRESS'!AB8</f>
        <v>46283</v>
      </c>
      <c r="Q10" s="1375">
        <f>'PHYSICAL % PROGRESS'!AC8</f>
        <v>46290</v>
      </c>
      <c r="R10" s="1375">
        <f>'PHYSICAL % PROGRESS'!AD8</f>
        <v>46297</v>
      </c>
      <c r="S10" s="1375">
        <f>'PHYSICAL % PROGRESS'!AE8</f>
        <v>46304</v>
      </c>
      <c r="T10" s="1375">
        <f>'PHYSICAL % PROGRESS'!AF8</f>
        <v>46311</v>
      </c>
      <c r="U10" s="1375">
        <f>'PHYSICAL % PROGRESS'!AG8</f>
        <v>46318</v>
      </c>
    </row>
    <row r="11" spans="2:21" s="1348" customFormat="1">
      <c r="D11" s="1376">
        <f>'PHYSICAL % PROGRESS'!P9</f>
        <v>46205</v>
      </c>
      <c r="E11" s="1376">
        <f>'PHYSICAL % PROGRESS'!Q9</f>
        <v>46212</v>
      </c>
      <c r="F11" s="1376">
        <f>'PHYSICAL % PROGRESS'!R9</f>
        <v>46219</v>
      </c>
      <c r="G11" s="1376">
        <f>'PHYSICAL % PROGRESS'!S9</f>
        <v>46226</v>
      </c>
      <c r="H11" s="1376">
        <f>'PHYSICAL % PROGRESS'!T9</f>
        <v>46233</v>
      </c>
      <c r="I11" s="1376">
        <f>'PHYSICAL % PROGRESS'!U9</f>
        <v>46240</v>
      </c>
      <c r="J11" s="1376">
        <f>'PHYSICAL % PROGRESS'!V9</f>
        <v>46247</v>
      </c>
      <c r="K11" s="1376">
        <f>'PHYSICAL % PROGRESS'!W9</f>
        <v>46254</v>
      </c>
      <c r="L11" s="1376">
        <f>'PHYSICAL % PROGRESS'!X9</f>
        <v>46261</v>
      </c>
      <c r="M11" s="1376">
        <f>'PHYSICAL % PROGRESS'!Y9</f>
        <v>46268</v>
      </c>
      <c r="N11" s="1376">
        <f>'PHYSICAL % PROGRESS'!Z9</f>
        <v>46275</v>
      </c>
      <c r="O11" s="1376">
        <f>'PHYSICAL % PROGRESS'!AA9</f>
        <v>46282</v>
      </c>
      <c r="P11" s="1376">
        <f>'PHYSICAL % PROGRESS'!AB9</f>
        <v>46289</v>
      </c>
      <c r="Q11" s="1376">
        <f>'PHYSICAL % PROGRESS'!AC9</f>
        <v>46296</v>
      </c>
      <c r="R11" s="1376">
        <f>'PHYSICAL % PROGRESS'!AD9</f>
        <v>46303</v>
      </c>
      <c r="S11" s="1376">
        <f>'PHYSICAL % PROGRESS'!AE9</f>
        <v>46310</v>
      </c>
      <c r="T11" s="1376">
        <f>'PHYSICAL % PROGRESS'!AF9</f>
        <v>46317</v>
      </c>
      <c r="U11" s="1376">
        <f>'PHYSICAL % PROGRESS'!AG9</f>
        <v>46324</v>
      </c>
    </row>
    <row r="12" spans="2:21" s="1348" customFormat="1" ht="16.5" customHeight="1">
      <c r="B12" s="1377" t="inlineStr">
        <is>
          <t xml:space="preserve">DESCRIPTION</t>
        </is>
      </c>
      <c r="C12" s="1354"/>
      <c r="D12" s="1354"/>
      <c r="E12" s="1354"/>
      <c r="F12" s="1354"/>
      <c r="G12" s="1354"/>
      <c r="H12" s="1354"/>
      <c r="I12" s="1354"/>
      <c r="J12" s="1354"/>
      <c r="K12" s="1354"/>
      <c r="L12" s="1354"/>
      <c r="M12" s="1354"/>
      <c r="N12" s="1354"/>
      <c r="O12" s="1354"/>
      <c r="P12" s="1354"/>
      <c r="Q12" s="1354"/>
      <c r="R12" s="1354"/>
      <c r="S12" s="1354"/>
      <c r="T12" s="1354"/>
      <c r="U12" s="1354"/>
    </row>
    <row r="13" spans="2:21" s="1379" customFormat="1">
      <c r="B13" s="1500" t="str">
        <f>'Para Histograma'!D599</f>
        <v>CAMION GRUA DE 12TN</v>
      </c>
      <c r="C13" s="1356" t="inlineStr">
        <is>
          <t xml:space="preserve">Plan</t>
        </is>
      </c>
      <c r="D13" s="1357">
        <f>'Para Histograma'!L599</f>
        <v>0</v>
      </c>
      <c r="E13" s="1357">
        <f>'Para Histograma'!M599</f>
        <v>0</v>
      </c>
      <c r="F13" s="1357">
        <f>'Para Histograma'!N599</f>
        <v>0</v>
      </c>
      <c r="G13" s="1357">
        <f>'Para Histograma'!O599</f>
        <v>1</v>
      </c>
      <c r="H13" s="1357">
        <f>'Para Histograma'!P599</f>
        <v>0</v>
      </c>
      <c r="I13" s="1357">
        <f>'Para Histograma'!Q599</f>
        <v>0</v>
      </c>
      <c r="J13" s="1357">
        <f>'Para Histograma'!R599</f>
        <v>0</v>
      </c>
      <c r="K13" s="1357">
        <f>'Para Histograma'!S599</f>
        <v>0</v>
      </c>
      <c r="L13" s="1357">
        <f>'Para Histograma'!T599</f>
        <v>0</v>
      </c>
      <c r="M13" s="1357">
        <f>'Para Histograma'!U599</f>
        <v>0</v>
      </c>
      <c r="N13" s="1357">
        <f>'Para Histograma'!V599</f>
        <v>0</v>
      </c>
      <c r="O13" s="1357">
        <f>'Para Histograma'!W599</f>
        <v>0</v>
      </c>
      <c r="P13" s="1357">
        <f>'Para Histograma'!X599</f>
        <v>0</v>
      </c>
      <c r="Q13" s="1357">
        <f>'Para Histograma'!Y599</f>
        <v>0</v>
      </c>
      <c r="R13" s="1357">
        <f>'Para Histograma'!Z599</f>
        <v>0</v>
      </c>
      <c r="S13" s="1357">
        <f>'Para Histograma'!AA599</f>
        <v>0</v>
      </c>
      <c r="T13" s="1357">
        <f>'Para Histograma'!AB599</f>
        <v>0</v>
      </c>
      <c r="U13" s="1357">
        <f>'Para Histograma'!AC599</f>
        <v>0</v>
      </c>
    </row>
    <row r="14" spans="2:21">
      <c r="B14" s="1380"/>
      <c r="C14" s="1360" t="inlineStr">
        <is>
          <t xml:space="preserve">Act.</t>
        </is>
      </c>
      <c r="D14" s="1491"/>
      <c r="E14" s="1491"/>
      <c r="F14" s="1491"/>
      <c r="G14" s="1491"/>
      <c r="H14" s="1491"/>
      <c r="I14" s="1491"/>
      <c r="J14" s="1491"/>
      <c r="K14" s="1491"/>
      <c r="L14" s="1491"/>
      <c r="M14" s="1491"/>
      <c r="N14" s="1491"/>
      <c r="O14" s="1491"/>
      <c r="P14" s="1491"/>
      <c r="Q14" s="1491"/>
      <c r="R14" s="1491"/>
      <c r="S14" s="1491"/>
      <c r="T14" s="1491"/>
      <c r="U14" s="1491"/>
    </row>
    <row r="15" spans="2:21" s="1379" customFormat="1">
      <c r="B15" s="1500" t="str">
        <f>'Para Histograma'!D600</f>
        <v>CAMION BARANDA (4TN)</v>
      </c>
      <c r="C15" s="1356" t="inlineStr">
        <is>
          <t xml:space="preserve">Plan</t>
        </is>
      </c>
      <c r="D15" s="1357">
        <f>'Para Histograma'!L600</f>
        <v>0</v>
      </c>
      <c r="E15" s="1357">
        <f>'Para Histograma'!M600</f>
        <v>0</v>
      </c>
      <c r="F15" s="1357">
        <f>'Para Histograma'!N600</f>
        <v>0</v>
      </c>
      <c r="G15" s="1357">
        <f>'Para Histograma'!O600</f>
        <v>1</v>
      </c>
      <c r="H15" s="1357">
        <f>'Para Histograma'!P600</f>
        <v>0</v>
      </c>
      <c r="I15" s="1357">
        <f>'Para Histograma'!Q600</f>
        <v>0</v>
      </c>
      <c r="J15" s="1357">
        <f>'Para Histograma'!R600</f>
        <v>0</v>
      </c>
      <c r="K15" s="1357">
        <f>'Para Histograma'!S600</f>
        <v>0</v>
      </c>
      <c r="L15" s="1357">
        <f>'Para Histograma'!T600</f>
        <v>0</v>
      </c>
      <c r="M15" s="1357">
        <f>'Para Histograma'!U600</f>
        <v>0</v>
      </c>
      <c r="N15" s="1357">
        <f>'Para Histograma'!V600</f>
        <v>0</v>
      </c>
      <c r="O15" s="1357">
        <f>'Para Histograma'!W600</f>
        <v>0</v>
      </c>
      <c r="P15" s="1357">
        <f>'Para Histograma'!X600</f>
        <v>0</v>
      </c>
      <c r="Q15" s="1357">
        <f>'Para Histograma'!Y600</f>
        <v>0</v>
      </c>
      <c r="R15" s="1357">
        <f>'Para Histograma'!Z600</f>
        <v>0</v>
      </c>
      <c r="S15" s="1357">
        <f>'Para Histograma'!AA600</f>
        <v>0</v>
      </c>
      <c r="T15" s="1357">
        <f>'Para Histograma'!AB600</f>
        <v>0</v>
      </c>
      <c r="U15" s="1357">
        <f>'Para Histograma'!AC600</f>
        <v>0</v>
      </c>
    </row>
    <row r="16" spans="2:21">
      <c r="B16" s="1380"/>
      <c r="C16" s="1360" t="inlineStr">
        <is>
          <t xml:space="preserve">Act.</t>
        </is>
      </c>
      <c r="D16" s="1491"/>
      <c r="E16" s="1491"/>
      <c r="F16" s="1491"/>
      <c r="G16" s="1491"/>
      <c r="H16" s="1491"/>
      <c r="I16" s="1491"/>
      <c r="J16" s="1491"/>
      <c r="K16" s="1491"/>
      <c r="L16" s="1491"/>
      <c r="M16" s="1491"/>
      <c r="N16" s="1491"/>
      <c r="O16" s="1491"/>
      <c r="P16" s="1491"/>
      <c r="Q16" s="1491"/>
      <c r="R16" s="1491"/>
      <c r="S16" s="1491"/>
      <c r="T16" s="1491"/>
      <c r="U16" s="1491"/>
    </row>
    <row r="17" spans="2:21" s="1379" customFormat="1">
      <c r="B17" s="1500" t="str">
        <f>'Para Histograma'!D601</f>
        <v>NIVEL DE INGENIERO</v>
      </c>
      <c r="C17" s="1356" t="inlineStr">
        <is>
          <t xml:space="preserve">Plan</t>
        </is>
      </c>
      <c r="D17" s="1357">
        <f>'Para Histograma'!L601</f>
        <v>0</v>
      </c>
      <c r="E17" s="1357">
        <f>'Para Histograma'!M601</f>
        <v>0</v>
      </c>
      <c r="F17" s="1357">
        <f>'Para Histograma'!N601</f>
        <v>0</v>
      </c>
      <c r="G17" s="1357">
        <f>'Para Histograma'!O601</f>
        <v>0</v>
      </c>
      <c r="H17" s="1357">
        <f>'Para Histograma'!P601</f>
        <v>1</v>
      </c>
      <c r="I17" s="1357">
        <f>'Para Histograma'!Q601</f>
        <v>0</v>
      </c>
      <c r="J17" s="1357">
        <f>'Para Histograma'!R601</f>
        <v>0</v>
      </c>
      <c r="K17" s="1357">
        <f>'Para Histograma'!S601</f>
        <v>0</v>
      </c>
      <c r="L17" s="1357">
        <f>'Para Histograma'!T601</f>
        <v>0</v>
      </c>
      <c r="M17" s="1357">
        <f>'Para Histograma'!U601</f>
        <v>0</v>
      </c>
      <c r="N17" s="1357">
        <f>'Para Histograma'!V601</f>
        <v>0</v>
      </c>
      <c r="O17" s="1357">
        <f>'Para Histograma'!W601</f>
        <v>0</v>
      </c>
      <c r="P17" s="1357">
        <f>'Para Histograma'!X601</f>
        <v>0</v>
      </c>
      <c r="Q17" s="1357">
        <f>'Para Histograma'!Y601</f>
        <v>0</v>
      </c>
      <c r="R17" s="1357">
        <f>'Para Histograma'!Z601</f>
        <v>0</v>
      </c>
      <c r="S17" s="1357">
        <f>'Para Histograma'!AA601</f>
        <v>0</v>
      </c>
      <c r="T17" s="1357">
        <f>'Para Histograma'!AB601</f>
        <v>0</v>
      </c>
      <c r="U17" s="1357">
        <f>'Para Histograma'!AC601</f>
        <v>0</v>
      </c>
    </row>
    <row r="18" spans="2:21">
      <c r="B18" s="1380"/>
      <c r="C18" s="1360" t="inlineStr">
        <is>
          <t xml:space="preserve">Act.</t>
        </is>
      </c>
      <c r="D18" s="1491"/>
      <c r="E18" s="1491"/>
      <c r="F18" s="1491"/>
      <c r="G18" s="1491"/>
      <c r="H18" s="1491"/>
      <c r="I18" s="1491"/>
      <c r="J18" s="1491"/>
      <c r="K18" s="1491"/>
      <c r="L18" s="1491"/>
      <c r="M18" s="1491"/>
      <c r="N18" s="1491"/>
      <c r="O18" s="1491"/>
      <c r="P18" s="1491"/>
      <c r="Q18" s="1491"/>
      <c r="R18" s="1491"/>
      <c r="S18" s="1491"/>
      <c r="T18" s="1491"/>
      <c r="U18" s="1491"/>
    </row>
    <row r="19" spans="2:21" s="1379" customFormat="1">
      <c r="B19" s="1500" t="str">
        <f>'Para Histograma'!D602</f>
        <v xml:space="preserve">ROTOMARTILLO </v>
      </c>
      <c r="C19" s="1356" t="inlineStr">
        <is>
          <t xml:space="preserve">Plan</t>
        </is>
      </c>
      <c r="D19" s="1357">
        <f>'Para Histograma'!L602</f>
        <v>0</v>
      </c>
      <c r="E19" s="1357">
        <f>'Para Histograma'!M602</f>
        <v>0</v>
      </c>
      <c r="F19" s="1357">
        <f>'Para Histograma'!N602</f>
        <v>0</v>
      </c>
      <c r="G19" s="1357">
        <f>'Para Histograma'!O602</f>
        <v>0</v>
      </c>
      <c r="H19" s="1357">
        <f>'Para Histograma'!P602</f>
        <v>1</v>
      </c>
      <c r="I19" s="1357">
        <f>'Para Histograma'!Q602</f>
        <v>0</v>
      </c>
      <c r="J19" s="1357">
        <f>'Para Histograma'!R602</f>
        <v>0</v>
      </c>
      <c r="K19" s="1357">
        <f>'Para Histograma'!S602</f>
        <v>0</v>
      </c>
      <c r="L19" s="1357">
        <f>'Para Histograma'!T602</f>
        <v>0</v>
      </c>
      <c r="M19" s="1357">
        <f>'Para Histograma'!U602</f>
        <v>0</v>
      </c>
      <c r="N19" s="1357">
        <f>'Para Histograma'!V602</f>
        <v>0</v>
      </c>
      <c r="O19" s="1357">
        <f>'Para Histograma'!W602</f>
        <v>0</v>
      </c>
      <c r="P19" s="1357">
        <f>'Para Histograma'!X602</f>
        <v>0</v>
      </c>
      <c r="Q19" s="1357">
        <f>'Para Histograma'!Y602</f>
        <v>0</v>
      </c>
      <c r="R19" s="1357">
        <f>'Para Histograma'!Z602</f>
        <v>0</v>
      </c>
      <c r="S19" s="1357">
        <f>'Para Histograma'!AA602</f>
        <v>0</v>
      </c>
      <c r="T19" s="1357">
        <f>'Para Histograma'!AB602</f>
        <v>0</v>
      </c>
      <c r="U19" s="1357">
        <f>'Para Histograma'!AC602</f>
        <v>0</v>
      </c>
    </row>
    <row r="20" spans="2:21">
      <c r="B20" s="1380"/>
      <c r="C20" s="1360" t="inlineStr">
        <is>
          <t xml:space="preserve">Act.</t>
        </is>
      </c>
      <c r="D20" s="1491"/>
      <c r="E20" s="1491"/>
      <c r="F20" s="1491"/>
      <c r="G20" s="1491"/>
      <c r="H20" s="1491"/>
      <c r="I20" s="1491"/>
      <c r="J20" s="1491"/>
      <c r="K20" s="1491"/>
      <c r="L20" s="1491"/>
      <c r="M20" s="1491"/>
      <c r="N20" s="1491"/>
      <c r="O20" s="1491"/>
      <c r="P20" s="1491"/>
      <c r="Q20" s="1491"/>
      <c r="R20" s="1491"/>
      <c r="S20" s="1491"/>
      <c r="T20" s="1491"/>
      <c r="U20" s="1491"/>
    </row>
    <row r="21" spans="2:21" s="1379" customFormat="1">
      <c r="B21" s="1500" t="str">
        <f>'Para Histograma'!D603</f>
        <v xml:space="preserve">VIBRADORA DE CONCRETO </v>
      </c>
      <c r="C21" s="1356" t="inlineStr">
        <is>
          <t xml:space="preserve">Plan</t>
        </is>
      </c>
      <c r="D21" s="1357">
        <f>'Para Histograma'!L603</f>
        <v>0</v>
      </c>
      <c r="E21" s="1357">
        <f>'Para Histograma'!M603</f>
        <v>0</v>
      </c>
      <c r="F21" s="1357">
        <f>'Para Histograma'!N603</f>
        <v>0</v>
      </c>
      <c r="G21" s="1357">
        <f>'Para Histograma'!O603</f>
        <v>0</v>
      </c>
      <c r="H21" s="1357">
        <f>'Para Histograma'!P603</f>
        <v>0</v>
      </c>
      <c r="I21" s="1357">
        <f>'Para Histograma'!Q603</f>
        <v>1</v>
      </c>
      <c r="J21" s="1357">
        <f>'Para Histograma'!R603</f>
        <v>0</v>
      </c>
      <c r="K21" s="1357">
        <f>'Para Histograma'!S603</f>
        <v>0</v>
      </c>
      <c r="L21" s="1357">
        <f>'Para Histograma'!T603</f>
        <v>0</v>
      </c>
      <c r="M21" s="1357">
        <f>'Para Histograma'!U603</f>
        <v>0</v>
      </c>
      <c r="N21" s="1357">
        <f>'Para Histograma'!V603</f>
        <v>0</v>
      </c>
      <c r="O21" s="1357">
        <f>'Para Histograma'!W603</f>
        <v>0</v>
      </c>
      <c r="P21" s="1357">
        <f>'Para Histograma'!X603</f>
        <v>0</v>
      </c>
      <c r="Q21" s="1357">
        <f>'Para Histograma'!Y603</f>
        <v>0</v>
      </c>
      <c r="R21" s="1357">
        <f>'Para Histograma'!Z603</f>
        <v>0</v>
      </c>
      <c r="S21" s="1357">
        <f>'Para Histograma'!AA603</f>
        <v>0</v>
      </c>
      <c r="T21" s="1357">
        <f>'Para Histograma'!AB603</f>
        <v>0</v>
      </c>
      <c r="U21" s="1357">
        <f>'Para Histograma'!AC603</f>
        <v>0</v>
      </c>
    </row>
    <row r="22" spans="2:21">
      <c r="B22" s="1380"/>
      <c r="C22" s="1360" t="inlineStr">
        <is>
          <t xml:space="preserve">Act.</t>
        </is>
      </c>
      <c r="D22" s="1491"/>
      <c r="E22" s="1491"/>
      <c r="F22" s="1491"/>
      <c r="G22" s="1491"/>
      <c r="H22" s="1491"/>
      <c r="I22" s="1491"/>
      <c r="J22" s="1491"/>
      <c r="K22" s="1491"/>
      <c r="L22" s="1491"/>
      <c r="M22" s="1491"/>
      <c r="N22" s="1491"/>
      <c r="O22" s="1491"/>
      <c r="P22" s="1491"/>
      <c r="Q22" s="1491"/>
      <c r="R22" s="1491"/>
      <c r="S22" s="1491"/>
      <c r="T22" s="1491"/>
      <c r="U22" s="1491"/>
    </row>
    <row r="23" spans="2:21" s="1379" customFormat="1">
      <c r="B23" s="1500" t="str">
        <f>'Para Histograma'!D604</f>
        <v>SIERRA CIRCULAR</v>
      </c>
      <c r="C23" s="1356" t="inlineStr">
        <is>
          <t xml:space="preserve">Plan</t>
        </is>
      </c>
      <c r="D23" s="1357">
        <f>'Para Histograma'!L604</f>
        <v>0</v>
      </c>
      <c r="E23" s="1357">
        <f>'Para Histograma'!M604</f>
        <v>0</v>
      </c>
      <c r="F23" s="1357">
        <f>'Para Histograma'!N604</f>
        <v>0</v>
      </c>
      <c r="G23" s="1357">
        <f>'Para Histograma'!O604</f>
        <v>0</v>
      </c>
      <c r="H23" s="1357">
        <f>'Para Histograma'!P604</f>
        <v>0</v>
      </c>
      <c r="I23" s="1357">
        <f>'Para Histograma'!Q604</f>
        <v>0</v>
      </c>
      <c r="J23" s="1357">
        <f>'Para Histograma'!R604</f>
        <v>1</v>
      </c>
      <c r="K23" s="1357">
        <f>'Para Histograma'!S604</f>
        <v>0</v>
      </c>
      <c r="L23" s="1357">
        <f>'Para Histograma'!T604</f>
        <v>0</v>
      </c>
      <c r="M23" s="1357">
        <f>'Para Histograma'!U604</f>
        <v>0</v>
      </c>
      <c r="N23" s="1357">
        <f>'Para Histograma'!V604</f>
        <v>0</v>
      </c>
      <c r="O23" s="1357">
        <f>'Para Histograma'!W604</f>
        <v>0</v>
      </c>
      <c r="P23" s="1357">
        <f>'Para Histograma'!X604</f>
        <v>0</v>
      </c>
      <c r="Q23" s="1357">
        <f>'Para Histograma'!Y604</f>
        <v>0</v>
      </c>
      <c r="R23" s="1357">
        <f>'Para Histograma'!Z604</f>
        <v>0</v>
      </c>
      <c r="S23" s="1357">
        <f>'Para Histograma'!AA604</f>
        <v>0</v>
      </c>
      <c r="T23" s="1357">
        <f>'Para Histograma'!AB604</f>
        <v>0</v>
      </c>
      <c r="U23" s="1357">
        <f>'Para Histograma'!AC604</f>
        <v>0</v>
      </c>
    </row>
    <row r="24" spans="2:21">
      <c r="B24" s="1380"/>
      <c r="C24" s="1360" t="inlineStr">
        <is>
          <t xml:space="preserve">Act.</t>
        </is>
      </c>
      <c r="D24" s="1491"/>
      <c r="E24" s="1491"/>
      <c r="F24" s="1491"/>
      <c r="G24" s="1491"/>
      <c r="H24" s="1491"/>
      <c r="I24" s="1491"/>
      <c r="J24" s="1491"/>
      <c r="K24" s="1491"/>
      <c r="L24" s="1491"/>
      <c r="M24" s="1491"/>
      <c r="N24" s="1491"/>
      <c r="O24" s="1491"/>
      <c r="P24" s="1491"/>
      <c r="Q24" s="1491"/>
      <c r="R24" s="1491"/>
      <c r="S24" s="1491"/>
      <c r="T24" s="1491"/>
      <c r="U24" s="1491"/>
    </row>
    <row r="25" spans="2:21" s="1379" customFormat="1">
      <c r="B25" s="1500" t="str">
        <f>'Para Histograma'!D605</f>
        <v xml:space="preserve">ESMERIL ELÉCTRICO </v>
      </c>
      <c r="C25" s="1356" t="inlineStr">
        <is>
          <t xml:space="preserve">Plan</t>
        </is>
      </c>
      <c r="D25" s="1357">
        <f>'Para Histograma'!L605</f>
        <v>0</v>
      </c>
      <c r="E25" s="1357">
        <f>'Para Histograma'!M605</f>
        <v>0</v>
      </c>
      <c r="F25" s="1357">
        <f>'Para Histograma'!N605</f>
        <v>0</v>
      </c>
      <c r="G25" s="1357">
        <f>'Para Histograma'!O605</f>
        <v>0</v>
      </c>
      <c r="H25" s="1357">
        <f>'Para Histograma'!P605</f>
        <v>0</v>
      </c>
      <c r="I25" s="1357">
        <f>'Para Histograma'!Q605</f>
        <v>0</v>
      </c>
      <c r="J25" s="1357">
        <f>'Para Histograma'!R605</f>
        <v>1</v>
      </c>
      <c r="K25" s="1357">
        <f>'Para Histograma'!S605</f>
        <v>0</v>
      </c>
      <c r="L25" s="1357">
        <f>'Para Histograma'!T605</f>
        <v>0</v>
      </c>
      <c r="M25" s="1357">
        <f>'Para Histograma'!U605</f>
        <v>0</v>
      </c>
      <c r="N25" s="1357">
        <f>'Para Histograma'!V605</f>
        <v>0</v>
      </c>
      <c r="O25" s="1357">
        <f>'Para Histograma'!W605</f>
        <v>0</v>
      </c>
      <c r="P25" s="1357">
        <f>'Para Histograma'!X605</f>
        <v>0</v>
      </c>
      <c r="Q25" s="1357">
        <f>'Para Histograma'!Y605</f>
        <v>0</v>
      </c>
      <c r="R25" s="1357">
        <f>'Para Histograma'!Z605</f>
        <v>0</v>
      </c>
      <c r="S25" s="1357">
        <f>'Para Histograma'!AA605</f>
        <v>0</v>
      </c>
      <c r="T25" s="1357">
        <f>'Para Histograma'!AB605</f>
        <v>0</v>
      </c>
      <c r="U25" s="1357">
        <f>'Para Histograma'!AC605</f>
        <v>0</v>
      </c>
    </row>
    <row r="26" spans="2:21">
      <c r="B26" s="1380"/>
      <c r="C26" s="1360" t="inlineStr">
        <is>
          <t xml:space="preserve">Act.</t>
        </is>
      </c>
      <c r="D26" s="1491"/>
      <c r="E26" s="1491"/>
      <c r="F26" s="1491"/>
      <c r="G26" s="1491"/>
      <c r="H26" s="1491"/>
      <c r="I26" s="1491"/>
      <c r="J26" s="1491"/>
      <c r="K26" s="1491"/>
      <c r="L26" s="1491"/>
      <c r="M26" s="1491"/>
      <c r="N26" s="1491"/>
      <c r="O26" s="1491"/>
      <c r="P26" s="1491"/>
      <c r="Q26" s="1491"/>
      <c r="R26" s="1491"/>
      <c r="S26" s="1491"/>
      <c r="T26" s="1491"/>
      <c r="U26" s="1491"/>
    </row>
    <row r="27" spans="2:21" s="1379" customFormat="1">
      <c r="B27" s="1500" t="str">
        <f>'Para Histograma'!D606</f>
        <v>AMOLADORA</v>
      </c>
      <c r="C27" s="1356" t="inlineStr">
        <is>
          <t xml:space="preserve">Plan</t>
        </is>
      </c>
      <c r="D27" s="1357">
        <f>'Para Histograma'!L606</f>
        <v>0</v>
      </c>
      <c r="E27" s="1357">
        <f>'Para Histograma'!M606</f>
        <v>0</v>
      </c>
      <c r="F27" s="1357">
        <f>'Para Histograma'!N606</f>
        <v>0</v>
      </c>
      <c r="G27" s="1357">
        <f>'Para Histograma'!O606</f>
        <v>0</v>
      </c>
      <c r="H27" s="1357">
        <f>'Para Histograma'!P606</f>
        <v>0</v>
      </c>
      <c r="I27" s="1357">
        <f>'Para Histograma'!Q606</f>
        <v>1</v>
      </c>
      <c r="J27" s="1357">
        <f>'Para Histograma'!R606</f>
        <v>1</v>
      </c>
      <c r="K27" s="1357">
        <f>'Para Histograma'!S606</f>
        <v>1</v>
      </c>
      <c r="L27" s="1357">
        <f>'Para Histograma'!T606</f>
        <v>1</v>
      </c>
      <c r="M27" s="1357">
        <f>'Para Histograma'!U606</f>
        <v>0</v>
      </c>
      <c r="N27" s="1357">
        <f>'Para Histograma'!V606</f>
        <v>0</v>
      </c>
      <c r="O27" s="1357">
        <f>'Para Histograma'!W606</f>
        <v>0</v>
      </c>
      <c r="P27" s="1357">
        <f>'Para Histograma'!X606</f>
        <v>0</v>
      </c>
      <c r="Q27" s="1357">
        <f>'Para Histograma'!Y606</f>
        <v>0</v>
      </c>
      <c r="R27" s="1357">
        <f>'Para Histograma'!Z606</f>
        <v>0</v>
      </c>
      <c r="S27" s="1357">
        <f>'Para Histograma'!AA606</f>
        <v>0</v>
      </c>
      <c r="T27" s="1357">
        <f>'Para Histograma'!AB606</f>
        <v>0</v>
      </c>
      <c r="U27" s="1357">
        <f>'Para Histograma'!AC606</f>
        <v>0</v>
      </c>
    </row>
    <row r="28" spans="2:21">
      <c r="B28" s="1380"/>
      <c r="C28" s="1360" t="inlineStr">
        <is>
          <t xml:space="preserve">Act.</t>
        </is>
      </c>
      <c r="D28" s="1491"/>
      <c r="E28" s="1491"/>
      <c r="F28" s="1491"/>
      <c r="G28" s="1491"/>
      <c r="H28" s="1491"/>
      <c r="I28" s="1491"/>
      <c r="J28" s="1491"/>
      <c r="K28" s="1491"/>
      <c r="L28" s="1491"/>
      <c r="M28" s="1491"/>
      <c r="N28" s="1491"/>
      <c r="O28" s="1491"/>
      <c r="P28" s="1491"/>
      <c r="Q28" s="1491"/>
      <c r="R28" s="1491"/>
      <c r="S28" s="1491"/>
      <c r="T28" s="1491"/>
      <c r="U28" s="1491"/>
    </row>
    <row r="29" spans="2:21" s="1379" customFormat="1">
      <c r="B29" s="1500" t="str">
        <f>'Para Histograma'!D607</f>
        <v xml:space="preserve">COMPRESORA </v>
      </c>
      <c r="C29" s="1356" t="inlineStr">
        <is>
          <t xml:space="preserve">Plan</t>
        </is>
      </c>
      <c r="D29" s="1357">
        <f>'Para Histograma'!L607</f>
        <v>0</v>
      </c>
      <c r="E29" s="1357">
        <f>'Para Histograma'!M607</f>
        <v>0</v>
      </c>
      <c r="F29" s="1357">
        <f>'Para Histograma'!N607</f>
        <v>0</v>
      </c>
      <c r="G29" s="1357">
        <f>'Para Histograma'!O607</f>
        <v>0</v>
      </c>
      <c r="H29" s="1357">
        <f>'Para Histograma'!P607</f>
        <v>0</v>
      </c>
      <c r="I29" s="1357">
        <f>'Para Histograma'!Q607</f>
        <v>0</v>
      </c>
      <c r="J29" s="1357">
        <f>'Para Histograma'!R607</f>
        <v>0</v>
      </c>
      <c r="K29" s="1357">
        <f>'Para Histograma'!S607</f>
        <v>0</v>
      </c>
      <c r="L29" s="1357">
        <f>'Para Histograma'!T607</f>
        <v>0</v>
      </c>
      <c r="M29" s="1357">
        <f>'Para Histograma'!U607</f>
        <v>1</v>
      </c>
      <c r="N29" s="1357">
        <f>'Para Histograma'!V607</f>
        <v>0</v>
      </c>
      <c r="O29" s="1357">
        <f>'Para Histograma'!W607</f>
        <v>0</v>
      </c>
      <c r="P29" s="1357">
        <f>'Para Histograma'!X607</f>
        <v>0</v>
      </c>
      <c r="Q29" s="1357">
        <f>'Para Histograma'!Y607</f>
        <v>0</v>
      </c>
      <c r="R29" s="1357">
        <f>'Para Histograma'!Z607</f>
        <v>0</v>
      </c>
      <c r="S29" s="1357">
        <f>'Para Histograma'!AA607</f>
        <v>0</v>
      </c>
      <c r="T29" s="1357">
        <f>'Para Histograma'!AB607</f>
        <v>0</v>
      </c>
      <c r="U29" s="1357">
        <f>'Para Histograma'!AC607</f>
        <v>0</v>
      </c>
    </row>
    <row r="30" spans="2:21">
      <c r="B30" s="1380"/>
      <c r="C30" s="1360" t="inlineStr">
        <is>
          <t xml:space="preserve">Act.</t>
        </is>
      </c>
      <c r="D30" s="1491"/>
      <c r="E30" s="1491"/>
      <c r="F30" s="1491"/>
      <c r="G30" s="1491"/>
      <c r="H30" s="1491"/>
      <c r="I30" s="1491"/>
      <c r="J30" s="1491"/>
      <c r="K30" s="1491"/>
      <c r="L30" s="1491"/>
      <c r="M30" s="1491"/>
      <c r="N30" s="1491"/>
      <c r="O30" s="1491"/>
      <c r="P30" s="1491"/>
      <c r="Q30" s="1491"/>
      <c r="R30" s="1491"/>
      <c r="S30" s="1491"/>
      <c r="T30" s="1491"/>
      <c r="U30" s="1491"/>
    </row>
    <row r="31" spans="2:21" s="1379" customFormat="1">
      <c r="B31" s="1500" t="str">
        <f>'Para Histograma'!D608</f>
        <v>MAQUINA DE SOLDAR</v>
      </c>
      <c r="C31" s="1356" t="inlineStr">
        <is>
          <t xml:space="preserve">Plan</t>
        </is>
      </c>
      <c r="D31" s="1357">
        <f>'Para Histograma'!L608</f>
        <v>0</v>
      </c>
      <c r="E31" s="1357">
        <f>'Para Histograma'!M608</f>
        <v>0</v>
      </c>
      <c r="F31" s="1357">
        <f>'Para Histograma'!N608</f>
        <v>0</v>
      </c>
      <c r="G31" s="1357">
        <f>'Para Histograma'!O608</f>
        <v>0</v>
      </c>
      <c r="H31" s="1357">
        <f>'Para Histograma'!P608</f>
        <v>0</v>
      </c>
      <c r="I31" s="1357">
        <f>'Para Histograma'!Q608</f>
        <v>0</v>
      </c>
      <c r="J31" s="1357">
        <f>'Para Histograma'!R608</f>
        <v>0</v>
      </c>
      <c r="K31" s="1357">
        <f>'Para Histograma'!S608</f>
        <v>2</v>
      </c>
      <c r="L31" s="1357">
        <f>'Para Histograma'!T608</f>
        <v>2</v>
      </c>
      <c r="M31" s="1357">
        <f>'Para Histograma'!U608</f>
        <v>2</v>
      </c>
      <c r="N31" s="1357">
        <f>'Para Histograma'!V608</f>
        <v>2</v>
      </c>
      <c r="O31" s="1357">
        <f>'Para Histograma'!W608</f>
        <v>3</v>
      </c>
      <c r="P31" s="1357">
        <f>'Para Histograma'!X608</f>
        <v>2</v>
      </c>
      <c r="Q31" s="1357">
        <f>'Para Histograma'!Y608</f>
        <v>2</v>
      </c>
      <c r="R31" s="1357">
        <f>'Para Histograma'!Z608</f>
        <v>2</v>
      </c>
      <c r="S31" s="1357">
        <f>'Para Histograma'!AA608</f>
        <v>1</v>
      </c>
      <c r="T31" s="1357">
        <f>'Para Histograma'!AB608</f>
        <v>1</v>
      </c>
      <c r="U31" s="1357">
        <f>'Para Histograma'!AC608</f>
        <v>0</v>
      </c>
    </row>
    <row r="32" spans="2:21">
      <c r="B32" s="1380"/>
      <c r="C32" s="1360" t="inlineStr">
        <is>
          <t xml:space="preserve">Act.</t>
        </is>
      </c>
      <c r="D32" s="1491"/>
      <c r="E32" s="1491"/>
      <c r="F32" s="1491"/>
      <c r="G32" s="1491"/>
      <c r="H32" s="1491"/>
      <c r="I32" s="1491"/>
      <c r="J32" s="1491"/>
      <c r="K32" s="1491"/>
      <c r="L32" s="1491"/>
      <c r="M32" s="1491"/>
      <c r="N32" s="1491"/>
      <c r="O32" s="1491"/>
      <c r="P32" s="1491"/>
      <c r="Q32" s="1491"/>
      <c r="R32" s="1491"/>
      <c r="S32" s="1491"/>
      <c r="T32" s="1491"/>
      <c r="U32" s="1491"/>
    </row>
    <row r="33" spans="2:21" s="1379" customFormat="1">
      <c r="B33" s="1500" t="str">
        <f>'Para Histograma'!D609</f>
        <v>BATIDORA DE GROUT</v>
      </c>
      <c r="C33" s="1356" t="inlineStr">
        <is>
          <t xml:space="preserve">Plan</t>
        </is>
      </c>
      <c r="D33" s="1357">
        <f>'Para Histograma'!L609</f>
        <v>0</v>
      </c>
      <c r="E33" s="1357">
        <f>'Para Histograma'!M609</f>
        <v>0</v>
      </c>
      <c r="F33" s="1357">
        <f>'Para Histograma'!N609</f>
        <v>0</v>
      </c>
      <c r="G33" s="1357">
        <f>'Para Histograma'!O609</f>
        <v>0</v>
      </c>
      <c r="H33" s="1357">
        <f>'Para Histograma'!P609</f>
        <v>0</v>
      </c>
      <c r="I33" s="1357">
        <f>'Para Histograma'!Q609</f>
        <v>0</v>
      </c>
      <c r="J33" s="1357">
        <f>'Para Histograma'!R609</f>
        <v>0</v>
      </c>
      <c r="K33" s="1357">
        <f>'Para Histograma'!S609</f>
        <v>0</v>
      </c>
      <c r="L33" s="1357">
        <f>'Para Histograma'!T609</f>
        <v>0</v>
      </c>
      <c r="M33" s="1357">
        <f>'Para Histograma'!U609</f>
        <v>0</v>
      </c>
      <c r="N33" s="1357">
        <f>'Para Histograma'!V609</f>
        <v>1</v>
      </c>
      <c r="O33" s="1357">
        <f>'Para Histograma'!W609</f>
        <v>1</v>
      </c>
      <c r="P33" s="1357">
        <f>'Para Histograma'!X609</f>
        <v>0</v>
      </c>
      <c r="Q33" s="1357">
        <f>'Para Histograma'!Y609</f>
        <v>0</v>
      </c>
      <c r="R33" s="1357">
        <f>'Para Histograma'!Z609</f>
        <v>0</v>
      </c>
      <c r="S33" s="1357">
        <f>'Para Histograma'!AA609</f>
        <v>0</v>
      </c>
      <c r="T33" s="1357">
        <f>'Para Histograma'!AB609</f>
        <v>0</v>
      </c>
      <c r="U33" s="1357">
        <f>'Para Histograma'!AC609</f>
        <v>0</v>
      </c>
    </row>
    <row r="34" spans="2:21">
      <c r="B34" s="1380"/>
      <c r="C34" s="1360" t="inlineStr">
        <is>
          <t xml:space="preserve">Act.</t>
        </is>
      </c>
      <c r="D34" s="1491"/>
      <c r="E34" s="1491"/>
      <c r="F34" s="1491"/>
      <c r="G34" s="1491"/>
      <c r="H34" s="1491"/>
      <c r="I34" s="1491"/>
      <c r="J34" s="1491"/>
      <c r="K34" s="1491"/>
      <c r="L34" s="1491"/>
      <c r="M34" s="1491"/>
      <c r="N34" s="1491"/>
      <c r="O34" s="1491"/>
      <c r="P34" s="1491"/>
      <c r="Q34" s="1491"/>
      <c r="R34" s="1491"/>
      <c r="S34" s="1491"/>
      <c r="T34" s="1491"/>
      <c r="U34" s="1491"/>
    </row>
    <row r="35" spans="2:21" s="1379" customFormat="1">
      <c r="B35" s="1500" t="str">
        <f>'Para Histograma'!D610</f>
        <v>TERMOHIGÓMETRO</v>
      </c>
      <c r="C35" s="1356" t="inlineStr">
        <is>
          <t xml:space="preserve">Plan</t>
        </is>
      </c>
      <c r="D35" s="1357">
        <f>'Para Histograma'!L610</f>
        <v>0</v>
      </c>
      <c r="E35" s="1357">
        <f>'Para Histograma'!M610</f>
        <v>0</v>
      </c>
      <c r="F35" s="1357">
        <f>'Para Histograma'!N610</f>
        <v>0</v>
      </c>
      <c r="G35" s="1357">
        <f>'Para Histograma'!O610</f>
        <v>0</v>
      </c>
      <c r="H35" s="1357">
        <f>'Para Histograma'!P610</f>
        <v>0</v>
      </c>
      <c r="I35" s="1357">
        <f>'Para Histograma'!Q610</f>
        <v>0</v>
      </c>
      <c r="J35" s="1357">
        <f>'Para Histograma'!R610</f>
        <v>0</v>
      </c>
      <c r="K35" s="1357">
        <f>'Para Histograma'!S610</f>
        <v>0</v>
      </c>
      <c r="L35" s="1357">
        <f>'Para Histograma'!T610</f>
        <v>0</v>
      </c>
      <c r="M35" s="1357">
        <f>'Para Histograma'!U610</f>
        <v>0</v>
      </c>
      <c r="N35" s="1357">
        <f>'Para Histograma'!V610</f>
        <v>1</v>
      </c>
      <c r="O35" s="1357">
        <f>'Para Histograma'!W610</f>
        <v>1</v>
      </c>
      <c r="P35" s="1357">
        <f>'Para Histograma'!X610</f>
        <v>0</v>
      </c>
      <c r="Q35" s="1357">
        <f>'Para Histograma'!Y610</f>
        <v>0</v>
      </c>
      <c r="R35" s="1357">
        <f>'Para Histograma'!Z610</f>
        <v>0</v>
      </c>
      <c r="S35" s="1357">
        <f>'Para Histograma'!AA610</f>
        <v>0</v>
      </c>
      <c r="T35" s="1357">
        <f>'Para Histograma'!AB610</f>
        <v>0</v>
      </c>
      <c r="U35" s="1357">
        <f>'Para Histograma'!AC610</f>
        <v>0</v>
      </c>
    </row>
    <row r="36" spans="2:21">
      <c r="B36" s="1380"/>
      <c r="C36" s="1360" t="inlineStr">
        <is>
          <t xml:space="preserve">Act.</t>
        </is>
      </c>
      <c r="D36" s="1491"/>
      <c r="E36" s="1491"/>
      <c r="F36" s="1491"/>
      <c r="G36" s="1491"/>
      <c r="H36" s="1491"/>
      <c r="I36" s="1491"/>
      <c r="J36" s="1491"/>
      <c r="K36" s="1491"/>
      <c r="L36" s="1491"/>
      <c r="M36" s="1491"/>
      <c r="N36" s="1491"/>
      <c r="O36" s="1491"/>
      <c r="P36" s="1491"/>
      <c r="Q36" s="1491"/>
      <c r="R36" s="1491"/>
      <c r="S36" s="1491"/>
      <c r="T36" s="1491"/>
      <c r="U36" s="1491"/>
    </row>
    <row r="37" spans="2:21" s="1379" customFormat="1">
      <c r="B37" s="1500" t="str">
        <f>'Para Histograma'!D611</f>
        <v>PIRÓMETRO</v>
      </c>
      <c r="C37" s="1356" t="inlineStr">
        <is>
          <t xml:space="preserve">Plan</t>
        </is>
      </c>
      <c r="D37" s="1357">
        <f>'Para Histograma'!L611</f>
        <v>0</v>
      </c>
      <c r="E37" s="1357">
        <f>'Para Histograma'!M611</f>
        <v>0</v>
      </c>
      <c r="F37" s="1357">
        <f>'Para Histograma'!N611</f>
        <v>0</v>
      </c>
      <c r="G37" s="1357">
        <f>'Para Histograma'!O611</f>
        <v>0</v>
      </c>
      <c r="H37" s="1357">
        <f>'Para Histograma'!P611</f>
        <v>0</v>
      </c>
      <c r="I37" s="1357">
        <f>'Para Histograma'!Q611</f>
        <v>0</v>
      </c>
      <c r="J37" s="1357">
        <f>'Para Histograma'!R611</f>
        <v>0</v>
      </c>
      <c r="K37" s="1357">
        <f>'Para Histograma'!S611</f>
        <v>0</v>
      </c>
      <c r="L37" s="1357">
        <f>'Para Histograma'!T611</f>
        <v>0</v>
      </c>
      <c r="M37" s="1357">
        <f>'Para Histograma'!U611</f>
        <v>0</v>
      </c>
      <c r="N37" s="1357">
        <f>'Para Histograma'!V611</f>
        <v>1</v>
      </c>
      <c r="O37" s="1357">
        <f>'Para Histograma'!W611</f>
        <v>1</v>
      </c>
      <c r="P37" s="1357">
        <f>'Para Histograma'!X611</f>
        <v>0</v>
      </c>
      <c r="Q37" s="1357">
        <f>'Para Histograma'!Y611</f>
        <v>0</v>
      </c>
      <c r="R37" s="1357">
        <f>'Para Histograma'!Z611</f>
        <v>0</v>
      </c>
      <c r="S37" s="1357">
        <f>'Para Histograma'!AA611</f>
        <v>0</v>
      </c>
      <c r="T37" s="1357">
        <f>'Para Histograma'!AB611</f>
        <v>0</v>
      </c>
      <c r="U37" s="1357">
        <f>'Para Histograma'!AC611</f>
        <v>0</v>
      </c>
    </row>
    <row r="38" spans="2:21">
      <c r="B38" s="1380"/>
      <c r="C38" s="1360" t="inlineStr">
        <is>
          <t xml:space="preserve">Act.</t>
        </is>
      </c>
      <c r="D38" s="1491"/>
      <c r="E38" s="1491"/>
      <c r="F38" s="1491"/>
      <c r="G38" s="1491"/>
      <c r="H38" s="1491"/>
      <c r="I38" s="1491"/>
      <c r="J38" s="1491"/>
      <c r="K38" s="1491"/>
      <c r="L38" s="1491"/>
      <c r="M38" s="1491"/>
      <c r="N38" s="1491"/>
      <c r="O38" s="1491"/>
      <c r="P38" s="1491"/>
      <c r="Q38" s="1491"/>
      <c r="R38" s="1491"/>
      <c r="S38" s="1491"/>
      <c r="T38" s="1491"/>
      <c r="U38" s="1491"/>
    </row>
    <row r="39" spans="2:21" s="1379" customFormat="1">
      <c r="B39" s="1500" t="str">
        <f>'Para Histograma'!D612</f>
        <v>TALADRO PERCUTOR</v>
      </c>
      <c r="C39" s="1356" t="inlineStr">
        <is>
          <t xml:space="preserve">Plan</t>
        </is>
      </c>
      <c r="D39" s="1357">
        <f>'Para Histograma'!L612</f>
        <v>0</v>
      </c>
      <c r="E39" s="1357">
        <f>'Para Histograma'!M612</f>
        <v>0</v>
      </c>
      <c r="F39" s="1357">
        <f>'Para Histograma'!N612</f>
        <v>0</v>
      </c>
      <c r="G39" s="1357">
        <f>'Para Histograma'!O612</f>
        <v>0</v>
      </c>
      <c r="H39" s="1357">
        <f>'Para Histograma'!P612</f>
        <v>0</v>
      </c>
      <c r="I39" s="1357">
        <f>'Para Histograma'!Q612</f>
        <v>0</v>
      </c>
      <c r="J39" s="1357">
        <f>'Para Histograma'!R612</f>
        <v>1</v>
      </c>
      <c r="K39" s="1357">
        <f>'Para Histograma'!S612</f>
        <v>1</v>
      </c>
      <c r="L39" s="1357">
        <f>'Para Histograma'!T612</f>
        <v>2</v>
      </c>
      <c r="M39" s="1357">
        <f>'Para Histograma'!U612</f>
        <v>1</v>
      </c>
      <c r="N39" s="1357">
        <f>'Para Histograma'!V612</f>
        <v>1</v>
      </c>
      <c r="O39" s="1357">
        <f>'Para Histograma'!W612</f>
        <v>0</v>
      </c>
      <c r="P39" s="1357">
        <f>'Para Histograma'!X612</f>
        <v>0</v>
      </c>
      <c r="Q39" s="1357">
        <f>'Para Histograma'!Y612</f>
        <v>0</v>
      </c>
      <c r="R39" s="1357">
        <f>'Para Histograma'!Z612</f>
        <v>0</v>
      </c>
      <c r="S39" s="1357">
        <f>'Para Histograma'!AA612</f>
        <v>0</v>
      </c>
      <c r="T39" s="1357">
        <f>'Para Histograma'!AB612</f>
        <v>0</v>
      </c>
      <c r="U39" s="1357">
        <f>'Para Histograma'!AC612</f>
        <v>0</v>
      </c>
    </row>
    <row r="40" spans="2:21">
      <c r="B40" s="1380"/>
      <c r="C40" s="1360" t="inlineStr">
        <is>
          <t xml:space="preserve">Act.</t>
        </is>
      </c>
      <c r="D40" s="1491"/>
      <c r="E40" s="1491"/>
      <c r="F40" s="1491"/>
      <c r="G40" s="1491"/>
      <c r="H40" s="1491"/>
      <c r="I40" s="1491"/>
      <c r="J40" s="1491"/>
      <c r="K40" s="1491"/>
      <c r="L40" s="1491"/>
      <c r="M40" s="1491"/>
      <c r="N40" s="1491"/>
      <c r="O40" s="1491"/>
      <c r="P40" s="1491"/>
      <c r="Q40" s="1491"/>
      <c r="R40" s="1491"/>
      <c r="S40" s="1491"/>
      <c r="T40" s="1491"/>
      <c r="U40" s="1491"/>
    </row>
    <row r="41" spans="2:21" s="1379" customFormat="1">
      <c r="B41" s="1500" t="str">
        <f>'Para Histograma'!D613</f>
        <v>MOTOBOMBA</v>
      </c>
      <c r="C41" s="1356" t="inlineStr">
        <is>
          <t xml:space="preserve">Plan</t>
        </is>
      </c>
      <c r="D41" s="1357">
        <f>'Para Histograma'!L613</f>
        <v>0</v>
      </c>
      <c r="E41" s="1357">
        <f>'Para Histograma'!M613</f>
        <v>0</v>
      </c>
      <c r="F41" s="1357">
        <f>'Para Histograma'!N613</f>
        <v>0</v>
      </c>
      <c r="G41" s="1357">
        <f>'Para Histograma'!O613</f>
        <v>0</v>
      </c>
      <c r="H41" s="1357">
        <f>'Para Histograma'!P613</f>
        <v>0</v>
      </c>
      <c r="I41" s="1357">
        <f>'Para Histograma'!Q613</f>
        <v>0</v>
      </c>
      <c r="J41" s="1357">
        <f>'Para Histograma'!R613</f>
        <v>0</v>
      </c>
      <c r="K41" s="1357">
        <f>'Para Histograma'!S613</f>
        <v>0</v>
      </c>
      <c r="L41" s="1357">
        <f>'Para Histograma'!T613</f>
        <v>0</v>
      </c>
      <c r="M41" s="1357">
        <f>'Para Histograma'!U613</f>
        <v>0</v>
      </c>
      <c r="N41" s="1357">
        <f>'Para Histograma'!V613</f>
        <v>0</v>
      </c>
      <c r="O41" s="1357">
        <f>'Para Histograma'!W613</f>
        <v>0</v>
      </c>
      <c r="P41" s="1357">
        <f>'Para Histograma'!X613</f>
        <v>0</v>
      </c>
      <c r="Q41" s="1357">
        <f>'Para Histograma'!Y613</f>
        <v>0</v>
      </c>
      <c r="R41" s="1357">
        <f>'Para Histograma'!Z613</f>
        <v>0</v>
      </c>
      <c r="S41" s="1357">
        <f>'Para Histograma'!AA613</f>
        <v>1</v>
      </c>
      <c r="T41" s="1357">
        <f>'Para Histograma'!AB613</f>
        <v>0</v>
      </c>
      <c r="U41" s="1357">
        <f>'Para Histograma'!AC613</f>
        <v>0</v>
      </c>
    </row>
    <row r="42" spans="2:21">
      <c r="B42" s="1380"/>
      <c r="C42" s="1360" t="inlineStr">
        <is>
          <t xml:space="preserve">Act.</t>
        </is>
      </c>
      <c r="D42" s="1491"/>
      <c r="E42" s="1491"/>
      <c r="F42" s="1491"/>
      <c r="G42" s="1491"/>
      <c r="H42" s="1491"/>
      <c r="I42" s="1491"/>
      <c r="J42" s="1491"/>
      <c r="K42" s="1491"/>
      <c r="L42" s="1491"/>
      <c r="M42" s="1491"/>
      <c r="N42" s="1491"/>
      <c r="O42" s="1491"/>
      <c r="P42" s="1491"/>
      <c r="Q42" s="1491"/>
      <c r="R42" s="1491"/>
      <c r="S42" s="1491"/>
      <c r="T42" s="1491"/>
      <c r="U42" s="1491"/>
    </row>
    <row r="43" spans="2:21" s="1379" customFormat="1">
      <c r="B43" s="1500" t="str">
        <f>'Para Histograma'!D614</f>
        <v>BOMBA PARA PRUEBAS HIDROSTÁTICAS</v>
      </c>
      <c r="C43" s="1356" t="inlineStr">
        <is>
          <t xml:space="preserve">Plan</t>
        </is>
      </c>
      <c r="D43" s="1357">
        <f>'Para Histograma'!L614</f>
        <v>0</v>
      </c>
      <c r="E43" s="1357">
        <f>'Para Histograma'!M614</f>
        <v>0</v>
      </c>
      <c r="F43" s="1357">
        <f>'Para Histograma'!N614</f>
        <v>0</v>
      </c>
      <c r="G43" s="1357">
        <f>'Para Histograma'!O614</f>
        <v>0</v>
      </c>
      <c r="H43" s="1357">
        <f>'Para Histograma'!P614</f>
        <v>0</v>
      </c>
      <c r="I43" s="1357">
        <f>'Para Histograma'!Q614</f>
        <v>0</v>
      </c>
      <c r="J43" s="1357">
        <f>'Para Histograma'!R614</f>
        <v>0</v>
      </c>
      <c r="K43" s="1357">
        <f>'Para Histograma'!S614</f>
        <v>0</v>
      </c>
      <c r="L43" s="1357">
        <f>'Para Histograma'!T614</f>
        <v>0</v>
      </c>
      <c r="M43" s="1357">
        <f>'Para Histograma'!U614</f>
        <v>0</v>
      </c>
      <c r="N43" s="1357">
        <f>'Para Histograma'!V614</f>
        <v>0</v>
      </c>
      <c r="O43" s="1357">
        <f>'Para Histograma'!W614</f>
        <v>0</v>
      </c>
      <c r="P43" s="1357">
        <f>'Para Histograma'!X614</f>
        <v>0</v>
      </c>
      <c r="Q43" s="1357">
        <f>'Para Histograma'!Y614</f>
        <v>0</v>
      </c>
      <c r="R43" s="1357">
        <f>'Para Histograma'!Z614</f>
        <v>0</v>
      </c>
      <c r="S43" s="1357">
        <f>'Para Histograma'!AA614</f>
        <v>1</v>
      </c>
      <c r="T43" s="1357">
        <f>'Para Histograma'!AB614</f>
        <v>0</v>
      </c>
      <c r="U43" s="1357">
        <f>'Para Histograma'!AC614</f>
        <v>0</v>
      </c>
    </row>
    <row r="44" spans="2:21">
      <c r="B44" s="1380"/>
      <c r="C44" s="1360" t="inlineStr">
        <is>
          <t xml:space="preserve">Act.</t>
        </is>
      </c>
      <c r="D44" s="1491"/>
      <c r="E44" s="1491"/>
      <c r="F44" s="1491"/>
      <c r="G44" s="1491"/>
      <c r="H44" s="1491"/>
      <c r="I44" s="1491"/>
      <c r="J44" s="1491"/>
      <c r="K44" s="1491"/>
      <c r="L44" s="1491"/>
      <c r="M44" s="1491"/>
      <c r="N44" s="1491"/>
      <c r="O44" s="1491"/>
      <c r="P44" s="1491"/>
      <c r="Q44" s="1491"/>
      <c r="R44" s="1491"/>
      <c r="S44" s="1491"/>
      <c r="T44" s="1491"/>
      <c r="U44" s="1491"/>
    </row>
    <row r="45" spans="2:21" s="1379" customFormat="1">
      <c r="B45" s="1500" t="str">
        <f>'Para Histograma'!D615</f>
        <v>TIRFOR</v>
      </c>
      <c r="C45" s="1356" t="inlineStr">
        <is>
          <t xml:space="preserve">Plan</t>
        </is>
      </c>
      <c r="D45" s="1357">
        <f>'Para Histograma'!L615</f>
        <v>0</v>
      </c>
      <c r="E45" s="1357">
        <f>'Para Histograma'!M615</f>
        <v>0</v>
      </c>
      <c r="F45" s="1357">
        <f>'Para Histograma'!N615</f>
        <v>0</v>
      </c>
      <c r="G45" s="1357">
        <f>'Para Histograma'!O615</f>
        <v>0</v>
      </c>
      <c r="H45" s="1357">
        <f>'Para Histograma'!P615</f>
        <v>0</v>
      </c>
      <c r="I45" s="1357">
        <f>'Para Histograma'!Q615</f>
        <v>0</v>
      </c>
      <c r="J45" s="1357">
        <f>'Para Histograma'!R615</f>
        <v>0</v>
      </c>
      <c r="K45" s="1357">
        <f>'Para Histograma'!S615</f>
        <v>0</v>
      </c>
      <c r="L45" s="1357">
        <f>'Para Histograma'!T615</f>
        <v>0</v>
      </c>
      <c r="M45" s="1357">
        <f>'Para Histograma'!U615</f>
        <v>1</v>
      </c>
      <c r="N45" s="1357">
        <f>'Para Histograma'!V615</f>
        <v>1</v>
      </c>
      <c r="O45" s="1357">
        <f>'Para Histograma'!W615</f>
        <v>0</v>
      </c>
      <c r="P45" s="1357">
        <f>'Para Histograma'!X615</f>
        <v>0</v>
      </c>
      <c r="Q45" s="1357">
        <f>'Para Histograma'!Y615</f>
        <v>0</v>
      </c>
      <c r="R45" s="1357">
        <f>'Para Histograma'!Z615</f>
        <v>0</v>
      </c>
      <c r="S45" s="1357">
        <f>'Para Histograma'!AA615</f>
        <v>0</v>
      </c>
      <c r="T45" s="1357">
        <f>'Para Histograma'!AB615</f>
        <v>0</v>
      </c>
      <c r="U45" s="1357">
        <f>'Para Histograma'!AC615</f>
        <v>0</v>
      </c>
    </row>
    <row r="46" spans="2:21">
      <c r="B46" s="1380"/>
      <c r="C46" s="1360" t="inlineStr">
        <is>
          <t xml:space="preserve">Act.</t>
        </is>
      </c>
      <c r="D46" s="1491"/>
      <c r="E46" s="1491"/>
      <c r="F46" s="1491"/>
      <c r="G46" s="1491"/>
      <c r="H46" s="1491"/>
      <c r="I46" s="1491"/>
      <c r="J46" s="1491"/>
      <c r="K46" s="1491"/>
      <c r="L46" s="1491"/>
      <c r="M46" s="1491"/>
      <c r="N46" s="1491"/>
      <c r="O46" s="1491"/>
      <c r="P46" s="1491"/>
      <c r="Q46" s="1491"/>
      <c r="R46" s="1491"/>
      <c r="S46" s="1491"/>
      <c r="T46" s="1491"/>
      <c r="U46" s="1491"/>
    </row>
    <row r="47" spans="2:21" s="1379" customFormat="1">
      <c r="B47" s="1500" t="str">
        <f>'Para Histograma'!D616</f>
        <v>ESMERIL ANGULAR</v>
      </c>
      <c r="C47" s="1356" t="inlineStr">
        <is>
          <t xml:space="preserve">Plan</t>
        </is>
      </c>
      <c r="D47" s="1357">
        <f>'Para Histograma'!L616</f>
        <v>0</v>
      </c>
      <c r="E47" s="1357">
        <f>'Para Histograma'!M616</f>
        <v>0</v>
      </c>
      <c r="F47" s="1357">
        <f>'Para Histograma'!N616</f>
        <v>0</v>
      </c>
      <c r="G47" s="1357">
        <f>'Para Histograma'!O616</f>
        <v>0</v>
      </c>
      <c r="H47" s="1357">
        <f>'Para Histograma'!P616</f>
        <v>0</v>
      </c>
      <c r="I47" s="1357">
        <f>'Para Histograma'!Q616</f>
        <v>0</v>
      </c>
      <c r="J47" s="1357">
        <f>'Para Histograma'!R616</f>
        <v>0</v>
      </c>
      <c r="K47" s="1357">
        <f>'Para Histograma'!S616</f>
        <v>2</v>
      </c>
      <c r="L47" s="1357">
        <f>'Para Histograma'!T616</f>
        <v>2</v>
      </c>
      <c r="M47" s="1357">
        <f>'Para Histograma'!U616</f>
        <v>2</v>
      </c>
      <c r="N47" s="1357">
        <f>'Para Histograma'!V616</f>
        <v>2</v>
      </c>
      <c r="O47" s="1357">
        <f>'Para Histograma'!W616</f>
        <v>2</v>
      </c>
      <c r="P47" s="1357">
        <f>'Para Histograma'!X616</f>
        <v>2</v>
      </c>
      <c r="Q47" s="1357">
        <f>'Para Histograma'!Y616</f>
        <v>2</v>
      </c>
      <c r="R47" s="1357">
        <f>'Para Histograma'!Z616</f>
        <v>1</v>
      </c>
      <c r="S47" s="1357">
        <f>'Para Histograma'!AA616</f>
        <v>1</v>
      </c>
      <c r="T47" s="1357">
        <f>'Para Histograma'!AB616</f>
        <v>1</v>
      </c>
      <c r="U47" s="1357">
        <f>'Para Histograma'!AC616</f>
        <v>0</v>
      </c>
    </row>
    <row r="48" spans="2:21">
      <c r="B48" s="1380"/>
      <c r="C48" s="1360" t="inlineStr">
        <is>
          <t xml:space="preserve">Act.</t>
        </is>
      </c>
      <c r="D48" s="1491"/>
      <c r="E48" s="1491"/>
      <c r="F48" s="1491"/>
      <c r="G48" s="1491"/>
      <c r="H48" s="1491"/>
      <c r="I48" s="1491"/>
      <c r="J48" s="1491"/>
      <c r="K48" s="1491"/>
      <c r="L48" s="1491"/>
      <c r="M48" s="1491"/>
      <c r="N48" s="1491"/>
      <c r="O48" s="1491"/>
      <c r="P48" s="1491"/>
      <c r="Q48" s="1491"/>
      <c r="R48" s="1491"/>
      <c r="S48" s="1491"/>
      <c r="T48" s="1491"/>
      <c r="U48" s="1491"/>
    </row>
    <row r="49" spans="2:21" s="1379" customFormat="1">
      <c r="B49" s="1500" t="str">
        <f>'Para Histograma'!D617</f>
        <v>ANDAMIOS</v>
      </c>
      <c r="C49" s="1356" t="inlineStr">
        <is>
          <t xml:space="preserve">Plan</t>
        </is>
      </c>
      <c r="D49" s="1357">
        <f>'Para Histograma'!L617</f>
        <v>0</v>
      </c>
      <c r="E49" s="1357">
        <f>'Para Histograma'!M617</f>
        <v>0</v>
      </c>
      <c r="F49" s="1357">
        <f>'Para Histograma'!N617</f>
        <v>0</v>
      </c>
      <c r="G49" s="1357">
        <f>'Para Histograma'!O617</f>
        <v>0</v>
      </c>
      <c r="H49" s="1357">
        <f>'Para Histograma'!P617</f>
        <v>0</v>
      </c>
      <c r="I49" s="1357">
        <f>'Para Histograma'!Q617</f>
        <v>0</v>
      </c>
      <c r="J49" s="1357">
        <f>'Para Histograma'!R617</f>
        <v>0</v>
      </c>
      <c r="K49" s="1357">
        <f>'Para Histograma'!S617</f>
        <v>6</v>
      </c>
      <c r="L49" s="1357">
        <f>'Para Histograma'!T617</f>
        <v>6</v>
      </c>
      <c r="M49" s="1357">
        <f>'Para Histograma'!U617</f>
        <v>6</v>
      </c>
      <c r="N49" s="1357">
        <f>'Para Histograma'!V617</f>
        <v>6</v>
      </c>
      <c r="O49" s="1357">
        <f>'Para Histograma'!W617</f>
        <v>7</v>
      </c>
      <c r="P49" s="1357">
        <f>'Para Histograma'!X617</f>
        <v>6</v>
      </c>
      <c r="Q49" s="1357">
        <f>'Para Histograma'!Y617</f>
        <v>6</v>
      </c>
      <c r="R49" s="1357">
        <f>'Para Histograma'!Z617</f>
        <v>3</v>
      </c>
      <c r="S49" s="1357">
        <f>'Para Histograma'!AA617</f>
        <v>3</v>
      </c>
      <c r="T49" s="1357">
        <f>'Para Histograma'!AB617</f>
        <v>0</v>
      </c>
      <c r="U49" s="1357">
        <f>'Para Histograma'!AC617</f>
        <v>0</v>
      </c>
    </row>
    <row r="50" spans="2:21">
      <c r="B50" s="1380"/>
      <c r="C50" s="1360" t="inlineStr">
        <is>
          <t xml:space="preserve">Act.</t>
        </is>
      </c>
      <c r="D50" s="1491"/>
      <c r="E50" s="1491"/>
      <c r="F50" s="1491"/>
      <c r="G50" s="1491"/>
      <c r="H50" s="1491"/>
      <c r="I50" s="1491"/>
      <c r="J50" s="1491"/>
      <c r="K50" s="1491"/>
      <c r="L50" s="1491"/>
      <c r="M50" s="1491"/>
      <c r="N50" s="1491"/>
      <c r="O50" s="1491"/>
      <c r="P50" s="1491"/>
      <c r="Q50" s="1491"/>
      <c r="R50" s="1491"/>
      <c r="S50" s="1491"/>
      <c r="T50" s="1491"/>
      <c r="U50" s="1491"/>
    </row>
    <row r="51" spans="2:21" s="1379" customFormat="1">
      <c r="B51" s="1500" t="str">
        <f>'Para Histograma'!D618</f>
        <v>TALADRO</v>
      </c>
      <c r="C51" s="1356" t="inlineStr">
        <is>
          <t xml:space="preserve">Plan</t>
        </is>
      </c>
      <c r="D51" s="1357">
        <f>'Para Histograma'!L618</f>
        <v>0</v>
      </c>
      <c r="E51" s="1357">
        <f>'Para Histograma'!M618</f>
        <v>0</v>
      </c>
      <c r="F51" s="1357">
        <f>'Para Histograma'!N618</f>
        <v>0</v>
      </c>
      <c r="G51" s="1357">
        <f>'Para Histograma'!O618</f>
        <v>0</v>
      </c>
      <c r="H51" s="1357">
        <f>'Para Histograma'!P618</f>
        <v>0</v>
      </c>
      <c r="I51" s="1357">
        <f>'Para Histograma'!Q618</f>
        <v>0</v>
      </c>
      <c r="J51" s="1357">
        <f>'Para Histograma'!R618</f>
        <v>0</v>
      </c>
      <c r="K51" s="1357">
        <f>'Para Histograma'!S618</f>
        <v>1</v>
      </c>
      <c r="L51" s="1357">
        <f>'Para Histograma'!T618</f>
        <v>0</v>
      </c>
      <c r="M51" s="1357">
        <f>'Para Histograma'!U618</f>
        <v>0</v>
      </c>
      <c r="N51" s="1357">
        <f>'Para Histograma'!V618</f>
        <v>0</v>
      </c>
      <c r="O51" s="1357">
        <f>'Para Histograma'!W618</f>
        <v>0</v>
      </c>
      <c r="P51" s="1357">
        <f>'Para Histograma'!X618</f>
        <v>0</v>
      </c>
      <c r="Q51" s="1357">
        <f>'Para Histograma'!Y618</f>
        <v>0</v>
      </c>
      <c r="R51" s="1357">
        <f>'Para Histograma'!Z618</f>
        <v>0</v>
      </c>
      <c r="S51" s="1357">
        <f>'Para Histograma'!AA618</f>
        <v>0</v>
      </c>
      <c r="T51" s="1357">
        <f>'Para Histograma'!AB618</f>
        <v>0</v>
      </c>
      <c r="U51" s="1357">
        <f>'Para Histograma'!AC618</f>
        <v>0</v>
      </c>
    </row>
    <row r="52" spans="2:21">
      <c r="B52" s="1380"/>
      <c r="C52" s="1360" t="inlineStr">
        <is>
          <t xml:space="preserve">Act.</t>
        </is>
      </c>
      <c r="D52" s="1491"/>
      <c r="E52" s="1491"/>
      <c r="F52" s="1491"/>
      <c r="G52" s="1491"/>
      <c r="H52" s="1491"/>
      <c r="I52" s="1491"/>
      <c r="J52" s="1491"/>
      <c r="K52" s="1491"/>
      <c r="L52" s="1491"/>
      <c r="M52" s="1491"/>
      <c r="N52" s="1491"/>
      <c r="O52" s="1491"/>
      <c r="P52" s="1491"/>
      <c r="Q52" s="1491"/>
      <c r="R52" s="1491"/>
      <c r="S52" s="1491"/>
      <c r="T52" s="1491"/>
      <c r="U52" s="1491"/>
    </row>
    <row r="53" spans="2:21" s="1379" customFormat="1">
      <c r="B53" s="1500" t="str">
        <f>'Para Histograma'!D619</f>
        <v>MULTIMETRO</v>
      </c>
      <c r="C53" s="1356" t="inlineStr">
        <is>
          <t xml:space="preserve">Plan</t>
        </is>
      </c>
      <c r="D53" s="1357">
        <f>'Para Histograma'!L619</f>
        <v>0</v>
      </c>
      <c r="E53" s="1357">
        <f>'Para Histograma'!M619</f>
        <v>0</v>
      </c>
      <c r="F53" s="1357">
        <f>'Para Histograma'!N619</f>
        <v>0</v>
      </c>
      <c r="G53" s="1357">
        <f>'Para Histograma'!O619</f>
        <v>0</v>
      </c>
      <c r="H53" s="1357">
        <f>'Para Histograma'!P619</f>
        <v>0</v>
      </c>
      <c r="I53" s="1357">
        <f>'Para Histograma'!Q619</f>
        <v>0</v>
      </c>
      <c r="J53" s="1357">
        <f>'Para Histograma'!R619</f>
        <v>1</v>
      </c>
      <c r="K53" s="1357">
        <f>'Para Histograma'!S619</f>
        <v>1</v>
      </c>
      <c r="L53" s="1357">
        <f>'Para Histograma'!T619</f>
        <v>1</v>
      </c>
      <c r="M53" s="1357">
        <f>'Para Histograma'!U619</f>
        <v>1</v>
      </c>
      <c r="N53" s="1357">
        <f>'Para Histograma'!V619</f>
        <v>1</v>
      </c>
      <c r="O53" s="1357">
        <f>'Para Histograma'!W619</f>
        <v>1</v>
      </c>
      <c r="P53" s="1357">
        <f>'Para Histograma'!X619</f>
        <v>0</v>
      </c>
      <c r="Q53" s="1357">
        <f>'Para Histograma'!Y619</f>
        <v>0</v>
      </c>
      <c r="R53" s="1357">
        <f>'Para Histograma'!Z619</f>
        <v>0</v>
      </c>
      <c r="S53" s="1357">
        <f>'Para Histograma'!AA619</f>
        <v>0</v>
      </c>
      <c r="T53" s="1357">
        <f>'Para Histograma'!AB619</f>
        <v>0</v>
      </c>
      <c r="U53" s="1357">
        <f>'Para Histograma'!AC619</f>
        <v>0</v>
      </c>
    </row>
    <row r="54" spans="2:21">
      <c r="B54" s="1380"/>
      <c r="C54" s="1360" t="inlineStr">
        <is>
          <t xml:space="preserve">Act.</t>
        </is>
      </c>
      <c r="D54" s="1491"/>
      <c r="E54" s="1491"/>
      <c r="F54" s="1491"/>
      <c r="G54" s="1491"/>
      <c r="H54" s="1491"/>
      <c r="I54" s="1491"/>
      <c r="J54" s="1491"/>
      <c r="K54" s="1491"/>
      <c r="L54" s="1491"/>
      <c r="M54" s="1491"/>
      <c r="N54" s="1491"/>
      <c r="O54" s="1491"/>
      <c r="P54" s="1491"/>
      <c r="Q54" s="1491"/>
      <c r="R54" s="1491"/>
      <c r="S54" s="1491"/>
      <c r="T54" s="1491"/>
      <c r="U54" s="1491"/>
    </row>
    <row r="55" spans="2:21" s="1379" customFormat="1">
      <c r="B55" s="1500" t="str">
        <f>'Para Histograma'!D620</f>
        <v>MEGÓMETRO</v>
      </c>
      <c r="C55" s="1356" t="inlineStr">
        <is>
          <t xml:space="preserve">Plan</t>
        </is>
      </c>
      <c r="D55" s="1357">
        <f>'Para Histograma'!L620</f>
        <v>0</v>
      </c>
      <c r="E55" s="1357">
        <f>'Para Histograma'!M620</f>
        <v>0</v>
      </c>
      <c r="F55" s="1357">
        <f>'Para Histograma'!N620</f>
        <v>0</v>
      </c>
      <c r="G55" s="1357">
        <f>'Para Histograma'!O620</f>
        <v>0</v>
      </c>
      <c r="H55" s="1357">
        <f>'Para Histograma'!P620</f>
        <v>0</v>
      </c>
      <c r="I55" s="1357">
        <f>'Para Histograma'!Q620</f>
        <v>0</v>
      </c>
      <c r="J55" s="1357">
        <f>'Para Histograma'!R620</f>
        <v>0</v>
      </c>
      <c r="K55" s="1357">
        <f>'Para Histograma'!S620</f>
        <v>1</v>
      </c>
      <c r="L55" s="1357">
        <f>'Para Histograma'!T620</f>
        <v>0</v>
      </c>
      <c r="M55" s="1357">
        <f>'Para Histograma'!U620</f>
        <v>0</v>
      </c>
      <c r="N55" s="1357">
        <f>'Para Histograma'!V620</f>
        <v>0</v>
      </c>
      <c r="O55" s="1357">
        <f>'Para Histograma'!W620</f>
        <v>0</v>
      </c>
      <c r="P55" s="1357">
        <f>'Para Histograma'!X620</f>
        <v>0</v>
      </c>
      <c r="Q55" s="1357">
        <f>'Para Histograma'!Y620</f>
        <v>0</v>
      </c>
      <c r="R55" s="1357">
        <f>'Para Histograma'!Z620</f>
        <v>0</v>
      </c>
      <c r="S55" s="1357">
        <f>'Para Histograma'!AA620</f>
        <v>0</v>
      </c>
      <c r="T55" s="1357">
        <f>'Para Histograma'!AB620</f>
        <v>0</v>
      </c>
      <c r="U55" s="1357">
        <f>'Para Histograma'!AC620</f>
        <v>0</v>
      </c>
    </row>
    <row r="56" spans="2:21">
      <c r="B56" s="1380"/>
      <c r="C56" s="1360" t="inlineStr">
        <is>
          <t xml:space="preserve">Act.</t>
        </is>
      </c>
      <c r="D56" s="1491"/>
      <c r="E56" s="1491"/>
      <c r="F56" s="1491"/>
      <c r="G56" s="1491"/>
      <c r="H56" s="1491"/>
      <c r="I56" s="1491"/>
      <c r="J56" s="1491"/>
      <c r="K56" s="1491"/>
      <c r="L56" s="1491"/>
      <c r="M56" s="1491"/>
      <c r="N56" s="1491"/>
      <c r="O56" s="1491"/>
      <c r="P56" s="1491"/>
      <c r="Q56" s="1491"/>
      <c r="R56" s="1491"/>
      <c r="S56" s="1491"/>
      <c r="T56" s="1491"/>
      <c r="U56" s="1491"/>
    </row>
    <row r="57" spans="2:21" s="1379" customFormat="1">
      <c r="B57" s="1500" t="str">
        <f>'Para Histograma'!D621</f>
        <v>MEGOMETRO</v>
      </c>
      <c r="C57" s="1356" t="inlineStr">
        <is>
          <t xml:space="preserve">Plan</t>
        </is>
      </c>
      <c r="D57" s="1357">
        <f>'Para Histograma'!L621</f>
        <v>0</v>
      </c>
      <c r="E57" s="1357">
        <f>'Para Histograma'!M621</f>
        <v>0</v>
      </c>
      <c r="F57" s="1357">
        <f>'Para Histograma'!N621</f>
        <v>0</v>
      </c>
      <c r="G57" s="1357">
        <f>'Para Histograma'!O621</f>
        <v>0</v>
      </c>
      <c r="H57" s="1357">
        <f>'Para Histograma'!P621</f>
        <v>0</v>
      </c>
      <c r="I57" s="1357">
        <f>'Para Histograma'!Q621</f>
        <v>0</v>
      </c>
      <c r="J57" s="1357">
        <f>'Para Histograma'!R621</f>
        <v>1</v>
      </c>
      <c r="K57" s="1357">
        <f>'Para Histograma'!S621</f>
        <v>1</v>
      </c>
      <c r="L57" s="1357">
        <f>'Para Histograma'!T621</f>
        <v>1</v>
      </c>
      <c r="M57" s="1357">
        <f>'Para Histograma'!U621</f>
        <v>1</v>
      </c>
      <c r="N57" s="1357">
        <f>'Para Histograma'!V621</f>
        <v>1</v>
      </c>
      <c r="O57" s="1357">
        <f>'Para Histograma'!W621</f>
        <v>0</v>
      </c>
      <c r="P57" s="1357">
        <f>'Para Histograma'!X621</f>
        <v>0</v>
      </c>
      <c r="Q57" s="1357">
        <f>'Para Histograma'!Y621</f>
        <v>0</v>
      </c>
      <c r="R57" s="1357">
        <f>'Para Histograma'!Z621</f>
        <v>0</v>
      </c>
      <c r="S57" s="1357">
        <f>'Para Histograma'!AA621</f>
        <v>0</v>
      </c>
      <c r="T57" s="1357">
        <f>'Para Histograma'!AB621</f>
        <v>0</v>
      </c>
      <c r="U57" s="1357">
        <f>'Para Histograma'!AC621</f>
        <v>0</v>
      </c>
    </row>
    <row r="58" spans="2:21">
      <c r="B58" s="1380"/>
      <c r="C58" s="1360" t="inlineStr">
        <is>
          <t xml:space="preserve">Act.</t>
        </is>
      </c>
      <c r="D58" s="1491"/>
      <c r="E58" s="1491"/>
      <c r="F58" s="1491"/>
      <c r="G58" s="1491"/>
      <c r="H58" s="1491"/>
      <c r="I58" s="1491"/>
      <c r="J58" s="1491"/>
      <c r="K58" s="1491"/>
      <c r="L58" s="1491"/>
      <c r="M58" s="1491"/>
      <c r="N58" s="1491"/>
      <c r="O58" s="1491"/>
      <c r="P58" s="1491"/>
      <c r="Q58" s="1491"/>
      <c r="R58" s="1491"/>
      <c r="S58" s="1491"/>
      <c r="T58" s="1491"/>
      <c r="U58" s="1491"/>
    </row>
    <row r="59" spans="2:21" s="1379" customFormat="1">
      <c r="B59" s="1500" t="str">
        <f>'Para Histograma'!D622</f>
        <v>GENERADOR DE TONO</v>
      </c>
      <c r="C59" s="1356" t="inlineStr">
        <is>
          <t xml:space="preserve">Plan</t>
        </is>
      </c>
      <c r="D59" s="1357">
        <f>'Para Histograma'!L622</f>
        <v>0</v>
      </c>
      <c r="E59" s="1357">
        <f>'Para Histograma'!M622</f>
        <v>0</v>
      </c>
      <c r="F59" s="1357">
        <f>'Para Histograma'!N622</f>
        <v>0</v>
      </c>
      <c r="G59" s="1357">
        <f>'Para Histograma'!O622</f>
        <v>0</v>
      </c>
      <c r="H59" s="1357">
        <f>'Para Histograma'!P622</f>
        <v>0</v>
      </c>
      <c r="I59" s="1357">
        <f>'Para Histograma'!Q622</f>
        <v>0</v>
      </c>
      <c r="J59" s="1357">
        <f>'Para Histograma'!R622</f>
        <v>1</v>
      </c>
      <c r="K59" s="1357">
        <f>'Para Histograma'!S622</f>
        <v>0</v>
      </c>
      <c r="L59" s="1357">
        <f>'Para Histograma'!T622</f>
        <v>0</v>
      </c>
      <c r="M59" s="1357">
        <f>'Para Histograma'!U622</f>
        <v>0</v>
      </c>
      <c r="N59" s="1357">
        <f>'Para Histograma'!V622</f>
        <v>0</v>
      </c>
      <c r="O59" s="1357">
        <f>'Para Histograma'!W622</f>
        <v>0</v>
      </c>
      <c r="P59" s="1357">
        <f>'Para Histograma'!X622</f>
        <v>0</v>
      </c>
      <c r="Q59" s="1357">
        <f>'Para Histograma'!Y622</f>
        <v>0</v>
      </c>
      <c r="R59" s="1357">
        <f>'Para Histograma'!Z622</f>
        <v>0</v>
      </c>
      <c r="S59" s="1357">
        <f>'Para Histograma'!AA622</f>
        <v>0</v>
      </c>
      <c r="T59" s="1357">
        <f>'Para Histograma'!AB622</f>
        <v>0</v>
      </c>
      <c r="U59" s="1357">
        <f>'Para Histograma'!AC622</f>
        <v>0</v>
      </c>
    </row>
    <row r="60" spans="2:21">
      <c r="B60" s="1380"/>
      <c r="C60" s="1360" t="inlineStr">
        <is>
          <t xml:space="preserve">Act.</t>
        </is>
      </c>
      <c r="D60" s="1491"/>
      <c r="E60" s="1491"/>
      <c r="F60" s="1491"/>
      <c r="G60" s="1491"/>
      <c r="H60" s="1491"/>
      <c r="I60" s="1491"/>
      <c r="J60" s="1491"/>
      <c r="K60" s="1491"/>
      <c r="L60" s="1491"/>
      <c r="M60" s="1491"/>
      <c r="N60" s="1491"/>
      <c r="O60" s="1491"/>
      <c r="P60" s="1491"/>
      <c r="Q60" s="1491"/>
      <c r="R60" s="1491"/>
      <c r="S60" s="1491"/>
      <c r="T60" s="1491"/>
      <c r="U60" s="1491"/>
    </row>
    <row r="61" spans="2:21" s="1379" customFormat="1">
      <c r="B61" s="1500" t="str">
        <f>'Para Histograma'!D623</f>
        <v>DOBLADORA</v>
      </c>
      <c r="C61" s="1356" t="inlineStr">
        <is>
          <t xml:space="preserve">Plan</t>
        </is>
      </c>
      <c r="D61" s="1357">
        <f>'Para Histograma'!L623</f>
        <v>0</v>
      </c>
      <c r="E61" s="1357">
        <f>'Para Histograma'!M623</f>
        <v>0</v>
      </c>
      <c r="F61" s="1357">
        <f>'Para Histograma'!N623</f>
        <v>0</v>
      </c>
      <c r="G61" s="1357">
        <f>'Para Histograma'!O623</f>
        <v>0</v>
      </c>
      <c r="H61" s="1357">
        <f>'Para Histograma'!P623</f>
        <v>0</v>
      </c>
      <c r="I61" s="1357">
        <f>'Para Histograma'!Q623</f>
        <v>0</v>
      </c>
      <c r="J61" s="1357">
        <f>'Para Histograma'!R623</f>
        <v>0</v>
      </c>
      <c r="K61" s="1357">
        <f>'Para Histograma'!S623</f>
        <v>0</v>
      </c>
      <c r="L61" s="1357">
        <f>'Para Histograma'!T623</f>
        <v>0</v>
      </c>
      <c r="M61" s="1357">
        <f>'Para Histograma'!U623</f>
        <v>0</v>
      </c>
      <c r="N61" s="1357">
        <f>'Para Histograma'!V623</f>
        <v>0</v>
      </c>
      <c r="O61" s="1357">
        <f>'Para Histograma'!W623</f>
        <v>0</v>
      </c>
      <c r="P61" s="1357">
        <f>'Para Histograma'!X623</f>
        <v>0</v>
      </c>
      <c r="Q61" s="1357">
        <f>'Para Histograma'!Y623</f>
        <v>0</v>
      </c>
      <c r="R61" s="1357">
        <f>'Para Histograma'!Z623</f>
        <v>0</v>
      </c>
      <c r="S61" s="1357">
        <f>'Para Histograma'!AA623</f>
        <v>1</v>
      </c>
      <c r="T61" s="1357">
        <f>'Para Histograma'!AB623</f>
        <v>0</v>
      </c>
      <c r="U61" s="1357">
        <f>'Para Histograma'!AC623</f>
        <v>0</v>
      </c>
    </row>
    <row r="62" spans="2:21">
      <c r="B62" s="1380"/>
      <c r="C62" s="1360" t="inlineStr">
        <is>
          <t xml:space="preserve">Act.</t>
        </is>
      </c>
      <c r="D62" s="1491"/>
      <c r="E62" s="1491"/>
      <c r="F62" s="1491"/>
      <c r="G62" s="1491"/>
      <c r="H62" s="1491"/>
      <c r="I62" s="1491"/>
      <c r="J62" s="1491"/>
      <c r="K62" s="1491"/>
      <c r="L62" s="1491"/>
      <c r="M62" s="1491"/>
      <c r="N62" s="1491"/>
      <c r="O62" s="1491"/>
      <c r="P62" s="1491"/>
      <c r="Q62" s="1491"/>
      <c r="R62" s="1491"/>
      <c r="S62" s="1491"/>
      <c r="T62" s="1491"/>
      <c r="U62" s="1491"/>
    </row>
    <row r="63" spans="2:21" s="1379" customFormat="1">
      <c r="B63" s="1378"/>
      <c r="C63" s="1356"/>
      <c r="D63" s="1357"/>
      <c r="E63" s="1357"/>
      <c r="F63" s="1357"/>
      <c r="G63" s="1357"/>
      <c r="H63" s="1357"/>
      <c r="I63" s="1357"/>
      <c r="J63" s="1357"/>
      <c r="K63" s="1357"/>
      <c r="L63" s="1357"/>
      <c r="M63" s="1357"/>
      <c r="N63" s="1357"/>
      <c r="O63" s="1357"/>
      <c r="P63" s="1357"/>
      <c r="Q63" s="1357"/>
      <c r="R63" s="1357"/>
      <c r="S63" s="1357"/>
      <c r="T63" s="1357"/>
      <c r="U63" s="1357"/>
    </row>
    <row r="64" spans="2:21">
      <c r="B64" s="1380" t="inlineStr">
        <is>
          <t xml:space="preserve">TOTAL EQUIPOS</t>
        </is>
      </c>
      <c r="C64" s="1360" t="inlineStr">
        <is>
          <t xml:space="preserve">Plan</t>
        </is>
      </c>
      <c r="D64" s="1361">
        <f>SUMIF($C13:$C62,"Plan",D13:D62)</f>
        <v>0</v>
      </c>
      <c r="E64" s="1361">
        <f t="shared" ref="E64:U64" si="0">SUMIF($C13:$C62,"Plan",E13:E62)</f>
        <v>0</v>
      </c>
      <c r="F64" s="1361">
        <f t="shared" si="0"/>
        <v>0</v>
      </c>
      <c r="G64" s="1361">
        <f t="shared" si="0"/>
        <v>2</v>
      </c>
      <c r="H64" s="1361">
        <f t="shared" si="0"/>
        <v>2</v>
      </c>
      <c r="I64" s="1361">
        <f t="shared" si="0"/>
        <v>2</v>
      </c>
      <c r="J64" s="1361">
        <f t="shared" si="0"/>
        <v>7</v>
      </c>
      <c r="K64" s="1361">
        <f t="shared" si="0"/>
        <v>16</v>
      </c>
      <c r="L64" s="1361">
        <f t="shared" si="0"/>
        <v>15</v>
      </c>
      <c r="M64" s="1361">
        <f t="shared" si="0"/>
        <v>15</v>
      </c>
      <c r="N64" s="1361">
        <f t="shared" si="0"/>
        <v>17</v>
      </c>
      <c r="O64" s="1361">
        <f t="shared" si="0"/>
        <v>16</v>
      </c>
      <c r="P64" s="1361">
        <f t="shared" si="0"/>
        <v>10</v>
      </c>
      <c r="Q64" s="1361">
        <f t="shared" si="0"/>
        <v>10</v>
      </c>
      <c r="R64" s="1361">
        <f t="shared" si="0"/>
        <v>6</v>
      </c>
      <c r="S64" s="1361">
        <f t="shared" si="0"/>
        <v>8</v>
      </c>
      <c r="T64" s="1361">
        <f t="shared" si="0"/>
        <v>2</v>
      </c>
      <c r="U64" s="1361">
        <f t="shared" si="0"/>
        <v>0</v>
      </c>
    </row>
    <row r="65" spans="2:21" s="1379" customFormat="1">
      <c r="B65" s="1378"/>
      <c r="C65" s="1356" t="inlineStr">
        <is>
          <t xml:space="preserve">Act.</t>
        </is>
      </c>
      <c r="D65" s="1493">
        <f>SUMIF($C13:$C62,"Act.",D13:D62)</f>
        <v>0</v>
      </c>
      <c r="E65" s="1493">
        <f t="shared" ref="E65:U65" si="1">SUMIF($C13:$C62,"Act.",E13:E62)</f>
        <v>0</v>
      </c>
      <c r="F65" s="1493">
        <f t="shared" si="1"/>
        <v>0</v>
      </c>
      <c r="G65" s="1493">
        <f t="shared" si="1"/>
        <v>0</v>
      </c>
      <c r="H65" s="1493">
        <f t="shared" si="1"/>
        <v>0</v>
      </c>
      <c r="I65" s="1493">
        <f t="shared" si="1"/>
        <v>0</v>
      </c>
      <c r="J65" s="1493">
        <f t="shared" si="1"/>
        <v>0</v>
      </c>
      <c r="K65" s="1493">
        <f t="shared" si="1"/>
        <v>0</v>
      </c>
      <c r="L65" s="1493">
        <f t="shared" si="1"/>
        <v>0</v>
      </c>
      <c r="M65" s="1493">
        <f t="shared" si="1"/>
        <v>0</v>
      </c>
      <c r="N65" s="1493">
        <f t="shared" si="1"/>
        <v>0</v>
      </c>
      <c r="O65" s="1493">
        <f t="shared" si="1"/>
        <v>0</v>
      </c>
      <c r="P65" s="1493">
        <f t="shared" si="1"/>
        <v>0</v>
      </c>
      <c r="Q65" s="1493">
        <f t="shared" si="1"/>
        <v>0</v>
      </c>
      <c r="R65" s="1493">
        <f t="shared" si="1"/>
        <v>0</v>
      </c>
      <c r="S65" s="1493">
        <f t="shared" si="1"/>
        <v>0</v>
      </c>
      <c r="T65" s="1493">
        <f t="shared" si="1"/>
        <v>0</v>
      </c>
      <c r="U65" s="1493">
        <f t="shared" si="1"/>
        <v>0</v>
      </c>
    </row>
    <row r="66" spans="2:21">
      <c r="B66" s="1380"/>
      <c r="C66" s="1360"/>
      <c r="D66" s="1361"/>
      <c r="E66" s="1361"/>
      <c r="F66" s="1361"/>
      <c r="G66" s="1361"/>
      <c r="H66" s="1361"/>
      <c r="I66" s="1361"/>
      <c r="J66" s="1361"/>
      <c r="K66" s="1361"/>
      <c r="L66" s="1361"/>
      <c r="M66" s="1361"/>
      <c r="N66" s="1361"/>
      <c r="O66" s="1361"/>
      <c r="P66" s="1361"/>
      <c r="Q66" s="1361"/>
      <c r="R66" s="1361"/>
      <c r="S66" s="1361"/>
      <c r="T66" s="1361"/>
      <c r="U66" s="1361"/>
    </row>
    <row r="67" spans="2:21" s="1379" customFormat="1">
      <c r="B67" s="1378"/>
      <c r="C67" s="1356"/>
      <c r="D67" s="1357"/>
      <c r="E67" s="1357"/>
      <c r="F67" s="1357"/>
      <c r="G67" s="1357"/>
      <c r="H67" s="1357"/>
      <c r="I67" s="1357"/>
      <c r="J67" s="1357"/>
      <c r="K67" s="1357"/>
      <c r="L67" s="1357"/>
      <c r="M67" s="1357"/>
      <c r="N67" s="1357"/>
      <c r="O67" s="1357"/>
      <c r="P67" s="1357"/>
      <c r="Q67" s="1357"/>
      <c r="R67" s="1357"/>
      <c r="S67" s="1357"/>
      <c r="T67" s="1357"/>
      <c r="U67" s="1357"/>
    </row>
    <row r="68" spans="2:21">
      <c r="B68" s="1380"/>
      <c r="C68" s="1360"/>
      <c r="D68" s="1361"/>
      <c r="E68" s="1361"/>
      <c r="F68" s="1361"/>
      <c r="G68" s="1361"/>
      <c r="H68" s="1361"/>
      <c r="I68" s="1361"/>
      <c r="J68" s="1361"/>
      <c r="K68" s="1361"/>
      <c r="L68" s="1361"/>
      <c r="M68" s="1361"/>
      <c r="N68" s="1361"/>
      <c r="O68" s="1361"/>
      <c r="P68" s="1361"/>
      <c r="Q68" s="1361"/>
      <c r="R68" s="1361"/>
      <c r="S68" s="1361"/>
      <c r="T68" s="1361"/>
      <c r="U68" s="1361"/>
    </row>
    <row r="69" spans="2:21">
      <c r="B69" s="1380"/>
      <c r="C69" s="1360"/>
      <c r="D69" s="1361"/>
      <c r="E69" s="1361"/>
      <c r="F69" s="1361"/>
      <c r="G69" s="1361"/>
      <c r="H69" s="1361"/>
      <c r="I69" s="1361"/>
      <c r="J69" s="1361"/>
      <c r="K69" s="1361"/>
      <c r="L69" s="1361"/>
      <c r="M69" s="1361"/>
      <c r="N69" s="1361"/>
      <c r="O69" s="1361"/>
      <c r="P69" s="1361"/>
      <c r="Q69" s="1361"/>
      <c r="R69" s="1361"/>
      <c r="S69" s="1361"/>
      <c r="T69" s="1361"/>
      <c r="U69" s="1361"/>
    </row>
    <row r="70" spans="2:21">
      <c r="B70" s="1382"/>
      <c r="C70" s="1383"/>
      <c r="D70" s="1384"/>
      <c r="E70" s="1384"/>
      <c r="F70" s="1384"/>
      <c r="G70" s="1384"/>
      <c r="H70" s="1384"/>
      <c r="I70" s="1384"/>
      <c r="J70" s="1384"/>
      <c r="K70" s="1384"/>
      <c r="L70" s="1384"/>
      <c r="M70" s="1384"/>
      <c r="N70" s="1384"/>
      <c r="O70" s="1384"/>
      <c r="P70" s="1384"/>
      <c r="Q70" s="1384"/>
      <c r="R70" s="1384"/>
      <c r="S70" s="1384"/>
      <c r="T70" s="1384"/>
      <c r="U70" s="1384"/>
    </row>
    <row r="71" spans="2:21">
      <c r="B71" s="1385"/>
      <c r="C71" s="1386"/>
      <c r="D71" s="1361"/>
      <c r="E71" s="1361"/>
      <c r="F71" s="1361"/>
      <c r="G71" s="1361"/>
      <c r="H71" s="1361"/>
      <c r="I71" s="1361"/>
      <c r="J71" s="1361"/>
      <c r="K71" s="1361"/>
      <c r="L71" s="1361"/>
      <c r="M71" s="1361"/>
      <c r="N71" s="1361"/>
      <c r="O71" s="1361"/>
      <c r="P71" s="1361"/>
      <c r="Q71" s="1361"/>
      <c r="R71" s="1361"/>
      <c r="S71" s="1361"/>
      <c r="T71" s="1361"/>
      <c r="U71" s="1361"/>
    </row>
    <row r="72" spans="2:21" customFormat="1" ht="12.75"/>
    <row r="73" spans="2:21" customFormat="1" ht="12.75"/>
    <row r="74" spans="2:21" customFormat="1" ht="12.75"/>
    <row r="75" spans="2:21" customFormat="1" ht="12.75"/>
    <row r="76" spans="2:21" customFormat="1" ht="12.75"/>
    <row r="77" spans="2:21" customFormat="1" ht="12.75"/>
    <row r="78" spans="2:21" customFormat="1" ht="12.75"/>
    <row r="79" spans="2:21" customFormat="1" ht="12.75"/>
    <row r="80" spans="2:21" customFormat="1" ht="12.75"/>
    <row r="81" customFormat="1" ht="12.75"/>
    <row r="82" customFormat="1" ht="12.75"/>
    <row r="83" customFormat="1" ht="12.75"/>
    <row r="84" customFormat="1" ht="12.75"/>
    <row r="85" customFormat="1" ht="12.75"/>
    <row r="86" customFormat="1" ht="12.75"/>
    <row r="87" customFormat="1" ht="12.75"/>
    <row r="88" customFormat="1" ht="12.75"/>
    <row r="89" customFormat="1" ht="12.75"/>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12.75"/>
    <row r="118" customFormat="1" ht="12.75"/>
    <row r="119" customFormat="1" ht="12.75"/>
    <row r="120" customFormat="1" ht="12.75"/>
    <row r="121" customFormat="1" ht="12.75"/>
    <row r="122" customFormat="1" ht="12.75"/>
    <row r="123" customFormat="1" ht="12.75"/>
    <row r="124" customFormat="1" ht="12.75"/>
    <row r="125" customFormat="1" ht="12.75"/>
    <row r="126" customFormat="1" ht="12.75"/>
    <row r="127" customFormat="1" ht="12.75"/>
    <row r="128" customFormat="1" ht="12.75"/>
    <row r="129" customFormat="1" ht="12.75"/>
    <row r="130" customFormat="1" ht="12.75"/>
  </sheetData>
  <autoFilter ref="B12:P68" xr:uid="{00000000-0009-0000-0000-000008000000}"/>
  <pageMargins left="0.7" right="0.7" top="0.75" bottom="0.75" header="0.3" footer="0.3"/>
  <pageSetup scale="62" orientation="landscape" r:id="rId1"/>
</worksheet>
</file>