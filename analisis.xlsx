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worksheets/sheet3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hart9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PC ANALISIS" sheetId="1" r:id="rId1"/>
    <sheet name="Analisis de Restricciones" sheetId="2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3" formatCode="_-* #,##0.00_-;\-* #,##0.00_-;_-* &quot;-&quot;??_-;_-@_-"/>
    <numFmt numFmtId="164" formatCode="_ [$€]* #,##0.00_ ;_ [$€]* \-#,##0.00_ ;_ [$€]* &quot;-&quot;??_ ;_ @_ "/>
    <numFmt numFmtId="165" formatCode="0.00.00"/>
    <numFmt numFmtId="166" formatCode="0.00.00."/>
    <numFmt numFmtId="167" formatCode="#,##0.0000_);\-#,##0.0000"/>
    <numFmt numFmtId="168" formatCode="#,##0.00_);\-#,##0.00"/>
    <numFmt numFmtId="169" formatCode="0.0%"/>
    <numFmt numFmtId="170" formatCode="0.0000"/>
    <numFmt numFmtId="171" formatCode="_(* #,##0.00_);_(* \(#,##0.00\);_(* &quot;-&quot;??_);_(@_)"/>
    <numFmt numFmtId="172" formatCode="_-[$S/-280A]\ * #,##0.00_-;\-[$S/-280A]\ * #,##0.00_-;_-[$S/-280A]\ * &quot;-&quot;??_-;_-@_-"/>
    <numFmt numFmtId="173" formatCode="_-&quot;S/&quot;* #,##0.00_-;\-&quot;S/&quot;* #,##0.00_-;_-&quot;S/&quot;* &quot;-&quot;??_-;_-@_-"/>
    <numFmt numFmtId="174" formatCode="_-[$$-540A]* #,##0.00_ ;_-[$$-540A]* \-#,##0.00\ ;_-[$$-540A]* &quot;-&quot;??_ ;_-@_ "/>
    <numFmt numFmtId="175" formatCode="_ * #,##0.00_ ;_ * \-#,##0.00_ ;_ * &quot;-&quot;??_ ;_ @_ "/>
    <numFmt numFmtId="176" formatCode="[$$-540A]#,##0.00"/>
    <numFmt numFmtId="177" formatCode="&quot;S/&quot;#,##0.00"/>
    <numFmt numFmtId="178" formatCode="_-[$$-409]* #,##0.00_ ;_-[$$-409]* \-#,##0.00\ ;_-[$$-409]* &quot;-&quot;??_ ;_-@_ "/>
    <numFmt numFmtId="179" formatCode="#,##0.0"/>
    <numFmt numFmtId="180" formatCode="_-[$$-45C]* #,##0.00_-;\-[$$-45C]* #,##0.00_-;_-[$$-45C]* &quot;-&quot;??_-;_-@_-"/>
    <numFmt numFmtId="181" formatCode="dd\-mm\-yyyy"/>
    <numFmt numFmtId="182" formatCode="dd\-mmm"/>
    <numFmt numFmtId="183" formatCode="#,##0.00;\(#,##0.00\);\-"/>
    <numFmt numFmtId="184" formatCode="#,##0.0;\(#,##0.0\);\-"/>
    <numFmt numFmtId="185" formatCode="0;;\-"/>
    <numFmt numFmtId="186" formatCode="dd/mm"/>
    <numFmt numFmtId="187" formatCode="#,##0;;"/>
    <numFmt numFmtId="188" formatCode="#,##0;;\-"/>
    <numFmt numFmtId="189" formatCode="[$$-409]#,##0.00"/>
    <numFmt numFmtId="190" formatCode="&quot;S/&quot;#,##0.00;\(&quot;S/&quot;#,##0.00\);\-"/>
    <numFmt numFmtId="191" formatCode="dd/mm/yyyy"/>
    <numFmt numFmtId="192" formatCode="0.0"/>
    <numFmt numFmtId="193" formatCode="&quot;S/.&quot;#,##0.00"/>
    <numFmt numFmtId="194" formatCode="dd\-mm\-yy"/>
    <numFmt numFmtId="195" formatCode="#,##0.0;;\-"/>
    <numFmt numFmtId="196" formatCode="0.0;;\-"/>
    <numFmt numFmtId="197" formatCode="#,##0.00;;\-"/>
    <numFmt numFmtId="198" formatCode="#,##0;[Red]\-#,##0;\-"/>
    <numFmt numFmtId="199" formatCode=";;;"/>
    <numFmt numFmtId="200" formatCode="[$-10C6B]dd/mm/yy;@"/>
    <numFmt numFmtId="201" formatCode="#,##0.00;\(#,##0.00\)"/>
    <numFmt numFmtId="202" formatCode="&quot;S&quot;General\ "/>
    <numFmt numFmtId="203" formatCode="&quot;SEM&quot;\ 0"/>
    <numFmt numFmtId="204" formatCode="&quot;Sem&quot;\ General\ "/>
    <numFmt numFmtId="205" formatCode="0.000"/>
    <numFmt numFmtId="206" formatCode="\ \ &quot;Contractor:   &quot;@"/>
    <numFmt numFmtId="207" formatCode="\ \ @"/>
    <numFmt numFmtId="208" formatCode="dd/mm/yy"/>
    <numFmt numFmtId="209" formatCode="_-[$$-45C]* #,##0_-;\-[$$-45C]* #,##0_-;_-[$$-45C]* &quot;-&quot;_-;_-@_-"/>
    <numFmt numFmtId="210" formatCode="\ &quot;Start =&quot;[$-409]dd\-mmm\-yy;@"/>
    <numFmt numFmtId="211" formatCode="[$-C0A]d\-mmm;@"/>
    <numFmt numFmtId="212" formatCode="_ * #,##0_ ;_ * \-#,##0_ ;_ * &quot;-&quot;??_ ;_ @_ "/>
    <numFmt numFmtId="213" formatCode="&quot;SEMANA&quot;\ 0"/>
    <numFmt numFmtId="214" formatCode="\ &quot;SEMANA&quot;\ General"/>
    <numFmt numFmtId="215" formatCode="dd/mmm/yy"/>
    <numFmt numFmtId="216" formatCode="dd\-mmm\-yyyy;@"/>
    <numFmt numFmtId="217" formatCode="dd\-mmm\-yy;@"/>
    <numFmt numFmtId="218" formatCode="&quot;Sem &quot;0"/>
    <numFmt numFmtId="219" formatCode="0.00%;;\-"/>
  </numFmts>
  <fonts count="2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u/>
      <sz val="7.5"/>
      <color indexed="12"/>
      <name val="Arial"/>
      <family val="2"/>
    </font>
    <font>
      <u/>
      <sz val="7.5"/>
      <color indexed="36"/>
      <name val="Arial"/>
      <family val="2"/>
    </font>
    <font>
      <sz val="8"/>
      <name val="Helv"/>
    </font>
    <font>
      <sz val="10"/>
      <name val="Montserrat Medium"/>
    </font>
    <font>
      <b/>
      <sz val="7"/>
      <name val="Montserrat Medium"/>
    </font>
    <font>
      <sz val="7"/>
      <name val="Montserrat Medium"/>
    </font>
    <font>
      <b/>
      <sz val="10"/>
      <name val="Montserrat Medium"/>
    </font>
    <font>
      <b/>
      <sz val="14"/>
      <name val="Montserrat Medium"/>
    </font>
    <font>
      <b/>
      <sz val="16"/>
      <name val="Montserrat Medium"/>
    </font>
    <font>
      <sz val="9"/>
      <name val="Montserrat Medium"/>
    </font>
    <font>
      <sz val="10"/>
      <color theme="0"/>
      <name val="Montserrat Medium"/>
    </font>
    <font>
      <b/>
      <u/>
      <sz val="10"/>
      <color theme="0"/>
      <name val="Montserrat Medium"/>
    </font>
    <font>
      <b/>
      <sz val="7"/>
      <color theme="0"/>
      <name val="Montserrat Medium"/>
    </font>
    <font>
      <sz val="7"/>
      <color theme="0"/>
      <name val="Montserrat Medium"/>
    </font>
    <font>
      <b/>
      <sz val="10"/>
      <color theme="0"/>
      <name val="Montserrat Medium"/>
    </font>
    <font>
      <sz val="7"/>
      <color indexed="8"/>
      <name val="Montserrat Medium"/>
    </font>
    <font>
      <b/>
      <sz val="11"/>
      <color theme="0"/>
      <name val="Montserrat Medium"/>
    </font>
    <font>
      <sz val="10"/>
      <name val="Arial Narrow"/>
      <family val="2"/>
    </font>
    <font>
      <b/>
      <sz val="7"/>
      <color indexed="8"/>
      <name val="Montserrat Medium"/>
    </font>
    <font>
      <b/>
      <sz val="11"/>
      <name val="Arial Narrow"/>
      <family val="2"/>
    </font>
    <font>
      <sz val="8"/>
      <name val="Arial Narrow"/>
      <family val="2"/>
    </font>
    <font>
      <b/>
      <sz val="9"/>
      <color theme="0"/>
      <name val="Montserrat Medium"/>
    </font>
    <font>
      <sz val="12"/>
      <name val="Montserrat Medium"/>
    </font>
    <font>
      <b/>
      <sz val="8"/>
      <color theme="0"/>
      <name val="Montserrat Medium"/>
    </font>
    <font>
      <sz val="6"/>
      <name val="Montserrat Medium"/>
    </font>
    <font>
      <sz val="11"/>
      <name val="Montserrat Medium"/>
    </font>
    <font>
      <sz val="7"/>
      <color rgb="FF000000"/>
      <name val="Montserrat Medium"/>
    </font>
    <font>
      <b/>
      <sz val="6"/>
      <color theme="0"/>
      <name val="Montserrat Medium"/>
    </font>
    <font>
      <sz val="16"/>
      <name val="Montserrat Medium"/>
    </font>
    <font>
      <u/>
      <sz val="16"/>
      <name val="Montserrat Medium"/>
    </font>
    <font>
      <b/>
      <sz val="12"/>
      <name val="Montserrat Medium"/>
    </font>
    <font>
      <b/>
      <sz val="24"/>
      <name val="Arial"/>
      <family val="2"/>
    </font>
    <font>
      <sz val="18"/>
      <name val="Arial"/>
      <family val="2"/>
    </font>
    <font>
      <sz val="8"/>
      <name val="Montserrat Medium"/>
    </font>
    <font>
      <sz val="7"/>
      <name val="Arial Narrow"/>
      <family val="2"/>
    </font>
    <font>
      <sz val="7"/>
      <name val="Arial"/>
      <family val="2"/>
    </font>
    <font>
      <sz val="10"/>
      <color theme="1"/>
      <name val="Arial"/>
      <family val="2"/>
    </font>
    <font>
      <sz val="7"/>
      <color theme="1"/>
      <name val="Montserrat Medium"/>
    </font>
    <font>
      <b/>
      <sz val="10"/>
      <color theme="1"/>
      <name val="Arial"/>
      <family val="2"/>
    </font>
    <font>
      <sz val="7"/>
      <name val="Aptos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.0500000000000007"/>
      <color indexed="8"/>
      <name val="Arial Narrow"/>
      <family val="2"/>
    </font>
    <font>
      <b/>
      <sz val="8"/>
      <name val="Arial"/>
      <family val="2"/>
    </font>
    <font>
      <b/>
      <sz val="7"/>
      <name val="Arial Narrow"/>
      <family val="2"/>
    </font>
    <font>
      <sz val="10"/>
      <name val="Arial"/>
      <family val="2"/>
    </font>
    <font>
      <sz val="8"/>
      <color indexed="8"/>
      <name val="Calibri"/>
      <family val="2"/>
    </font>
    <font>
      <u/>
      <sz val="10"/>
      <color theme="10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sz val="7"/>
      <color indexed="8"/>
      <name val="Arial Narrow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 Rounded MT Bold"/>
      <family val="2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3366FF"/>
      <name val="Calibri"/>
      <family val="2"/>
      <scheme val="minor"/>
    </font>
    <font>
      <b/>
      <sz val="10"/>
      <color rgb="FF3366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 tint="0.3999755851924192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9" tint="-0.249977111117893"/>
      <name val="Arial"/>
      <family val="2"/>
    </font>
    <font>
      <sz val="11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20"/>
      <color theme="0"/>
      <name val="Arial"/>
      <family val="2"/>
    </font>
    <font>
      <b/>
      <sz val="12"/>
      <color rgb="FF002060"/>
      <name val="Calibri"/>
      <family val="2"/>
    </font>
    <font>
      <b/>
      <sz val="11"/>
      <color theme="0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b/>
      <sz val="10"/>
      <color theme="1"/>
      <name val="Arial Narrow"/>
      <family val="2"/>
    </font>
    <font>
      <b/>
      <sz val="10"/>
      <color theme="4" tint="-0.249977111117893"/>
      <name val="Arial Narrow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Calibri"/>
      <family val="2"/>
    </font>
    <font>
      <b/>
      <i/>
      <sz val="10"/>
      <name val="Arial"/>
      <family val="2"/>
    </font>
    <font>
      <b/>
      <sz val="10"/>
      <name val="Arial"/>
    </font>
    <font>
      <sz val="10"/>
      <color rgb="FFFF0000"/>
      <name val="Arial"/>
      <family val="2"/>
    </font>
    <font>
      <b/>
      <sz val="14"/>
      <name val="Arial"/>
    </font>
    <font>
      <i/>
      <sz val="9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8"/>
      <name val="Arial"/>
    </font>
    <font>
      <b/>
      <sz val="8"/>
      <color rgb="FFFFFFFF"/>
      <name val="Arial"/>
    </font>
    <font>
      <sz val="9"/>
      <name val="Arial"/>
    </font>
    <font>
      <b/>
      <sz val="9"/>
      <name val="Arial"/>
    </font>
    <font>
      <sz val="11"/>
      <color rgb="FFFFC000"/>
      <name val="Arial"/>
    </font>
    <font>
      <sz val="10"/>
      <color rgb="FF7BA7D7"/>
      <name val="Arial"/>
    </font>
    <font>
      <sz val="10"/>
      <color rgb="FFFFC000"/>
      <name val="Arial"/>
    </font>
    <font>
      <sz val="10"/>
      <color rgb="FFED7D31"/>
      <name val="Arial"/>
    </font>
    <font>
      <i/>
      <sz val="9"/>
      <color rgb="FF666666"/>
      <name val="Arial"/>
    </font>
    <font>
      <sz val="9"/>
      <color rgb="FF0000FF"/>
      <name val="Arial"/>
    </font>
    <font>
      <i/>
      <sz val="9"/>
      <color rgb="FF0000FF"/>
      <name val="Arial"/>
    </font>
    <font>
      <b/>
      <sz val="10"/>
      <color rgb="FF0000FF"/>
      <name val="Arial"/>
      <family val="2"/>
    </font>
    <font>
      <b/>
      <sz val="9"/>
      <color rgb="FFFFFFFF"/>
      <name val="Arial"/>
    </font>
    <font>
      <b/>
      <sz val="12"/>
      <name val="Arial"/>
    </font>
    <font>
      <sz val="8"/>
      <name val="Arial"/>
    </font>
    <font>
      <b/>
      <sz val="8"/>
      <color rgb="FF000000"/>
      <name val="Arial"/>
    </font>
    <font>
      <b/>
      <sz val="7"/>
      <color rgb="FF000000"/>
      <name val="Montserrat Medium"/>
    </font>
    <font>
      <b/>
      <sz val="7"/>
      <color rgb="FFFFFFFF"/>
      <name val="Montserrat Medium"/>
    </font>
    <font>
      <i/>
      <sz val="9"/>
      <color rgb="FF595959"/>
      <name val="Montserrat Medium"/>
    </font>
    <font>
      <sz val="7"/>
      <color rgb="FFA6A6A6"/>
      <name val="Montserrat Medium"/>
    </font>
    <font>
      <b/>
      <sz val="7"/>
      <color rgb="FFA6A6A6"/>
      <name val="Montserrat Medium"/>
    </font>
    <font>
      <sz val="11"/>
      <color theme="0"/>
      <name val="Calibri"/>
      <family val="2"/>
      <scheme val="minor"/>
    </font>
    <font>
      <sz val="11"/>
      <name val="Aptos Narrow"/>
    </font>
    <font>
      <sz val="7"/>
      <color rgb="FF9C0006"/>
      <name val="Montserrat Medium"/>
    </font>
    <font>
      <b/>
      <sz val="10"/>
      <color rgb="FF1F4E78"/>
      <name val="Arial"/>
    </font>
    <font>
      <sz val="8"/>
      <color rgb="FF808080"/>
      <name val="Arial"/>
    </font>
    <font>
      <b/>
      <sz val="8"/>
      <color rgb="FF1F4E78"/>
      <name val="Arial"/>
    </font>
    <font>
      <b/>
      <sz val="8"/>
      <color rgb="FF1F4E78"/>
      <name val="Arial"/>
      <family val="2"/>
    </font>
    <font>
      <b/>
      <sz val="10"/>
      <color rgb="FFFFFFFF"/>
      <name val="Arial"/>
      <family val="2"/>
    </font>
    <font>
      <sz val="8"/>
      <color rgb="FF808080"/>
      <name val="Arial"/>
      <family val="2"/>
    </font>
    <font>
      <sz val="8"/>
      <color rgb="FF595959"/>
      <name val="Arial"/>
      <family val="2"/>
    </font>
    <font>
      <i/>
      <sz val="8"/>
      <color rgb="FF595959"/>
      <name val="Arial"/>
      <family val="2"/>
    </font>
    <font>
      <sz val="10"/>
      <color rgb="FF0000FF"/>
      <name val="Arial"/>
      <family val="2"/>
    </font>
    <font>
      <sz val="8"/>
      <color rgb="FF0000FF"/>
      <name val="Arial"/>
      <family val="2"/>
    </font>
    <font>
      <b/>
      <sz val="14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2" tint="-0.74999237037263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4"/>
      <color rgb="FF0000FF"/>
      <name val="Arial"/>
      <family val="2"/>
    </font>
    <font>
      <b/>
      <sz val="14"/>
      <name val="Arial"/>
      <family val="2"/>
    </font>
    <font>
      <b/>
      <sz val="14"/>
      <color rgb="FF008000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sz val="14"/>
      <name val="Calibri (body)"/>
    </font>
    <font>
      <sz val="16"/>
      <name val="Arial"/>
      <family val="2"/>
    </font>
    <font>
      <b/>
      <sz val="16"/>
      <color rgb="FFC00000"/>
      <name val="Arial"/>
      <family val="2"/>
    </font>
    <font>
      <b/>
      <sz val="12"/>
      <color theme="0"/>
      <name val="Arial Narrow"/>
      <family val="2"/>
    </font>
    <font>
      <sz val="14"/>
      <color theme="0"/>
      <name val="Arial"/>
      <family val="2"/>
    </font>
    <font>
      <sz val="8"/>
      <color indexed="23"/>
      <name val="Verdana"/>
      <family val="2"/>
    </font>
    <font>
      <b/>
      <sz val="11"/>
      <color theme="2" tint="-9.9978637043366805E-2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Arial"/>
      <family val="2"/>
    </font>
    <font>
      <b/>
      <sz val="8"/>
      <color theme="3" tint="-0.249977111117893"/>
      <name val="Arial"/>
      <family val="2"/>
    </font>
    <font>
      <sz val="8"/>
      <color theme="1"/>
      <name val="Arial"/>
      <family val="2"/>
    </font>
    <font>
      <b/>
      <sz val="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b/>
      <sz val="12"/>
      <color rgb="FF0070C0"/>
      <name val="Calibri"/>
      <family val="2"/>
      <scheme val="minor"/>
    </font>
    <font>
      <b/>
      <i/>
      <u/>
      <sz val="16"/>
      <name val="Arial"/>
      <family val="2"/>
    </font>
    <font>
      <b/>
      <sz val="10"/>
      <color indexed="8"/>
      <name val="Arial"/>
      <family val="2"/>
    </font>
    <font>
      <sz val="9"/>
      <color theme="0" tint="-0.499984740745262"/>
      <name val="Arial"/>
      <family val="2"/>
    </font>
    <font>
      <sz val="11"/>
      <color rgb="FF002060"/>
      <name val="Arial Narrow"/>
      <family val="2"/>
    </font>
    <font>
      <sz val="11"/>
      <color rgb="FF002060"/>
      <name val="Calibri"/>
      <family val="2"/>
      <scheme val="minor"/>
    </font>
    <font>
      <b/>
      <sz val="9"/>
      <color rgb="FF002060"/>
      <name val="Arial Narrow"/>
      <family val="2"/>
    </font>
    <font>
      <b/>
      <sz val="11"/>
      <color theme="0"/>
      <name val="Arial Narrow"/>
      <family val="2"/>
    </font>
    <font>
      <b/>
      <sz val="10"/>
      <color theme="0"/>
      <name val="Arial Narrow"/>
      <family val="2"/>
    </font>
    <font>
      <sz val="11"/>
      <name val="Arial Narrow"/>
      <family val="2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b/>
      <sz val="10"/>
      <color rgb="FFC00000"/>
      <name val="Calibri"/>
      <family val="2"/>
      <scheme val="minor"/>
    </font>
    <font>
      <sz val="10"/>
      <color rgb="FF0070C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1F4E78"/>
      <name val="Calibri"/>
      <family val="2"/>
      <scheme val="minor"/>
    </font>
    <font>
      <b/>
      <sz val="10"/>
      <color rgb="FF1F4E78"/>
      <name val="Arial"/>
      <family val="2"/>
    </font>
    <font>
      <sz val="10"/>
      <color rgb="FF1F4E78"/>
      <name val="Arial"/>
      <family val="2"/>
    </font>
    <font>
      <b/>
      <sz val="10"/>
      <color rgb="FF1F4E78"/>
      <name val="Arial Narrow"/>
      <family val="2"/>
    </font>
    <font>
      <b/>
      <sz val="11"/>
      <color rgb="FF1F4E78"/>
      <name val="Calibri"/>
      <family val="2"/>
      <scheme val="minor"/>
    </font>
    <font>
      <b/>
      <sz val="9"/>
      <color rgb="FF1F4E78"/>
      <name val="Arial"/>
      <family val="2"/>
    </font>
    <font>
      <b/>
      <sz val="9"/>
      <color rgb="FF1F4E78"/>
      <name val="Calibri"/>
      <family val="2"/>
      <scheme val="minor"/>
    </font>
    <font>
      <sz val="9"/>
      <color rgb="FF595959"/>
      <name val="Arial"/>
      <family val="2"/>
    </font>
    <font>
      <b/>
      <sz val="8"/>
      <color rgb="FF595959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rgb="FF1F4E78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1F4E78"/>
      <name val="Arial"/>
      <family val="2"/>
    </font>
    <font>
      <sz val="11"/>
      <color rgb="FF1F4E78"/>
      <name val="Calibri"/>
      <family val="2"/>
      <scheme val="minor"/>
    </font>
    <font>
      <i/>
      <sz val="8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rgb="FF2E5C8A"/>
      <name val="Calibri"/>
      <family val="2"/>
      <scheme val="minor"/>
    </font>
    <font>
      <b/>
      <sz val="9"/>
      <color rgb="FF2E5C8A"/>
      <name val="Calibri"/>
      <family val="2"/>
      <scheme val="minor"/>
    </font>
    <font>
      <b/>
      <sz val="8"/>
      <color rgb="FF2E5C8A"/>
      <name val="Arial"/>
      <family val="2"/>
    </font>
    <font>
      <b/>
      <sz val="11"/>
      <color rgb="FFB85450"/>
      <name val="Calibri"/>
      <family val="2"/>
      <scheme val="minor"/>
    </font>
    <font>
      <b/>
      <sz val="9"/>
      <color rgb="FFB85450"/>
      <name val="Calibri"/>
      <family val="2"/>
      <scheme val="minor"/>
    </font>
    <font>
      <b/>
      <sz val="8"/>
      <color rgb="FFB8545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7"/>
      <name val="Arial"/>
      <family val="2"/>
    </font>
    <font>
      <b/>
      <sz val="9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6"/>
      <name val="Arial Narow"/>
    </font>
    <font>
      <b/>
      <u/>
      <sz val="16"/>
      <name val="Arial Narow"/>
    </font>
    <font>
      <b/>
      <sz val="16"/>
      <color theme="1"/>
      <name val="Arial Narow"/>
    </font>
    <font>
      <sz val="16"/>
      <color theme="1"/>
      <name val="Arial Narow"/>
    </font>
    <font>
      <sz val="11"/>
      <color indexed="8"/>
      <name val="Calibri"/>
      <family val="2"/>
    </font>
    <font>
      <sz val="16"/>
      <name val="Arial Narow"/>
    </font>
    <font>
      <sz val="9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</font>
    <font>
      <sz val="8"/>
      <color rgb="FFC00000"/>
      <name val="Arial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  <scheme val="minor"/>
    </font>
    <font>
      <sz val="10"/>
      <color rgb="FF000000"/>
      <name val="Arial Narrow"/>
      <family val="2"/>
    </font>
  </fonts>
  <fills count="8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EBED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FF0C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C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4B6C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DE9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9EC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E066"/>
        <bgColor indexed="64"/>
      </patternFill>
    </fill>
    <fill>
      <patternFill patternType="solid">
        <fgColor rgb="FFB7E1A1"/>
        <bgColor indexed="64"/>
      </patternFill>
    </fill>
    <fill>
      <patternFill patternType="solid">
        <fgColor rgb="FFFF8585"/>
        <bgColor indexed="64"/>
      </patternFill>
    </fill>
  </fills>
  <borders count="19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7BA7D7"/>
      </left>
      <right style="thin">
        <color rgb="FF7BA7D7"/>
      </right>
      <top style="thin">
        <color rgb="FF7BA7D7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/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8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theme="8" tint="-0.249977111117893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theme="1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62">
    <xf numFmtId="0" fontId="0" fillId="0" borderId="0"/>
    <xf numFmtId="0" fontId="10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3" borderId="2" applyNumberFormat="0" applyAlignment="0" applyProtection="0"/>
    <xf numFmtId="0" fontId="12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164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" fontId="17" fillId="0" borderId="4">
      <alignment horizontal="left"/>
    </xf>
    <xf numFmtId="0" fontId="4" fillId="0" borderId="0"/>
    <xf numFmtId="0" fontId="4" fillId="0" borderId="0"/>
    <xf numFmtId="0" fontId="4" fillId="5" borderId="5" applyNumberFormat="0" applyFont="0" applyAlignment="0" applyProtection="0"/>
    <xf numFmtId="0" fontId="17" fillId="0" borderId="6">
      <alignment horizontal="center"/>
    </xf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51" fillId="0" borderId="0"/>
    <xf numFmtId="169" fontId="5" fillId="0" borderId="0"/>
    <xf numFmtId="43" fontId="60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171" fontId="4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4" fillId="0" borderId="0"/>
    <xf numFmtId="0" fontId="2" fillId="0" borderId="0"/>
    <xf numFmtId="0" fontId="89" fillId="0" borderId="0">
      <alignment vertical="top"/>
    </xf>
    <xf numFmtId="0" fontId="4" fillId="0" borderId="0"/>
    <xf numFmtId="0" fontId="4" fillId="0" borderId="0"/>
    <xf numFmtId="0" fontId="131" fillId="0" borderId="0"/>
    <xf numFmtId="0" fontId="1" fillId="0" borderId="0"/>
    <xf numFmtId="0" fontId="4" fillId="0" borderId="0"/>
    <xf numFmtId="0" fontId="152" fillId="0" borderId="0"/>
    <xf numFmtId="0" fontId="15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71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4" fillId="0" borderId="0"/>
    <xf numFmtId="0" fontId="243" fillId="0" borderId="0" applyFont="0" applyFill="0" applyBorder="0" applyAlignment="0" applyProtection="0"/>
  </cellStyleXfs>
  <cellXfs count="27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" fontId="0" fillId="0" borderId="7" xfId="0" applyNumberFormat="1" applyBorder="1"/>
    <xf numFmtId="1" fontId="0" fillId="6" borderId="7" xfId="0" applyNumberFormat="1" applyFill="1" applyBorder="1"/>
    <xf numFmtId="1" fontId="7" fillId="0" borderId="7" xfId="0" applyNumberFormat="1" applyFont="1" applyBorder="1"/>
    <xf numFmtId="1" fontId="7" fillId="0" borderId="8" xfId="0" applyNumberFormat="1" applyFont="1" applyBorder="1"/>
    <xf numFmtId="1" fontId="6" fillId="0" borderId="7" xfId="0" applyNumberFormat="1" applyFont="1" applyBorder="1" applyAlignment="1">
      <alignment horizontal="center"/>
    </xf>
    <xf numFmtId="1" fontId="6" fillId="7" borderId="7" xfId="0" applyNumberFormat="1" applyFont="1" applyFill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1" fontId="0" fillId="7" borderId="7" xfId="0" applyNumberFormat="1" applyFill="1" applyBorder="1"/>
    <xf numFmtId="1" fontId="0" fillId="0" borderId="7" xfId="0" applyNumberFormat="1" applyBorder="1" applyAlignment="1">
      <alignment horizontal="center"/>
    </xf>
    <xf numFmtId="1" fontId="0" fillId="0" borderId="8" xfId="0" applyNumberFormat="1" applyBorder="1"/>
    <xf numFmtId="1" fontId="0" fillId="6" borderId="8" xfId="0" applyNumberFormat="1" applyFill="1" applyBorder="1"/>
    <xf numFmtId="12" fontId="6" fillId="7" borderId="7" xfId="0" applyNumberFormat="1" applyFont="1" applyFill="1" applyBorder="1" applyAlignment="1">
      <alignment horizontal="center"/>
    </xf>
    <xf numFmtId="0" fontId="6" fillId="0" borderId="7" xfId="0" quotePrefix="1" applyFont="1" applyBorder="1" applyAlignment="1">
      <alignment horizontal="center"/>
    </xf>
    <xf numFmtId="1" fontId="6" fillId="7" borderId="8" xfId="0" applyNumberFormat="1" applyFont="1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7" fillId="6" borderId="7" xfId="0" applyNumberFormat="1" applyFont="1" applyFill="1" applyBorder="1"/>
    <xf numFmtId="1" fontId="6" fillId="6" borderId="7" xfId="0" applyNumberFormat="1" applyFont="1" applyFill="1" applyBorder="1" applyAlignment="1">
      <alignment horizontal="center"/>
    </xf>
    <xf numFmtId="1" fontId="0" fillId="6" borderId="9" xfId="0" applyNumberFormat="1" applyFill="1" applyBorder="1" applyAlignment="1">
      <alignment horizontal="center"/>
    </xf>
    <xf numFmtId="1" fontId="6" fillId="6" borderId="9" xfId="0" applyNumberFormat="1" applyFont="1" applyFill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7" fillId="6" borderId="8" xfId="0" applyNumberFormat="1" applyFont="1" applyFill="1" applyBorder="1"/>
    <xf numFmtId="1" fontId="7" fillId="6" borderId="10" xfId="0" applyNumberFormat="1" applyFont="1" applyFill="1" applyBorder="1"/>
    <xf numFmtId="1" fontId="6" fillId="6" borderId="10" xfId="0" applyNumberFormat="1" applyFont="1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1" fontId="7" fillId="7" borderId="7" xfId="0" applyNumberFormat="1" applyFont="1" applyFill="1" applyBorder="1"/>
    <xf numFmtId="0" fontId="3" fillId="0" borderId="0" xfId="0" applyFont="1" applyAlignment="1">
      <alignment horizontal="left"/>
    </xf>
    <xf numFmtId="1" fontId="3" fillId="7" borderId="7" xfId="0" applyNumberFormat="1" applyFont="1" applyFill="1" applyBorder="1"/>
    <xf numFmtId="1" fontId="3" fillId="0" borderId="8" xfId="0" applyNumberFormat="1" applyFont="1" applyBorder="1"/>
    <xf numFmtId="1" fontId="8" fillId="6" borderId="7" xfId="0" applyNumberFormat="1" applyFont="1" applyFill="1" applyBorder="1"/>
    <xf numFmtId="1" fontId="6" fillId="7" borderId="9" xfId="0" applyNumberFormat="1" applyFont="1" applyFill="1" applyBorder="1" applyAlignment="1">
      <alignment horizontal="center"/>
    </xf>
    <xf numFmtId="1" fontId="8" fillId="0" borderId="8" xfId="0" applyNumberFormat="1" applyFont="1" applyBorder="1"/>
    <xf numFmtId="1" fontId="8" fillId="0" borderId="7" xfId="0" applyNumberFormat="1" applyFont="1" applyBorder="1"/>
    <xf numFmtId="1" fontId="3" fillId="0" borderId="7" xfId="0" applyNumberFormat="1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justify"/>
    </xf>
    <xf numFmtId="0" fontId="4" fillId="0" borderId="0" xfId="14"/>
    <xf numFmtId="0" fontId="3" fillId="0" borderId="0" xfId="14" applyFont="1" applyAlignment="1">
      <alignment vertical="center"/>
    </xf>
    <xf numFmtId="0" fontId="18" fillId="0" borderId="0" xfId="0" applyFont="1"/>
    <xf numFmtId="0" fontId="18" fillId="0" borderId="0" xfId="14" applyFont="1"/>
    <xf numFmtId="0" fontId="21" fillId="0" borderId="0" xfId="14" applyFont="1" applyAlignment="1">
      <alignment vertical="center"/>
    </xf>
    <xf numFmtId="0" fontId="23" fillId="0" borderId="0" xfId="14" applyFont="1" applyAlignment="1">
      <alignment horizontal="center" vertical="center"/>
    </xf>
    <xf numFmtId="0" fontId="21" fillId="0" borderId="0" xfId="0" applyFont="1"/>
    <xf numFmtId="0" fontId="25" fillId="8" borderId="19" xfId="0" applyFont="1" applyFill="1" applyBorder="1"/>
    <xf numFmtId="0" fontId="25" fillId="8" borderId="11" xfId="0" applyFont="1" applyFill="1" applyBorder="1"/>
    <xf numFmtId="0" fontId="25" fillId="8" borderId="18" xfId="0" applyFont="1" applyFill="1" applyBorder="1"/>
    <xf numFmtId="0" fontId="25" fillId="8" borderId="0" xfId="0" applyFont="1" applyFill="1"/>
    <xf numFmtId="0" fontId="19" fillId="0" borderId="19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justify"/>
    </xf>
    <xf numFmtId="0" fontId="20" fillId="0" borderId="11" xfId="0" applyFont="1" applyBorder="1"/>
    <xf numFmtId="0" fontId="19" fillId="0" borderId="11" xfId="0" applyFont="1" applyBorder="1" applyAlignment="1">
      <alignment horizontal="right" vertical="center"/>
    </xf>
    <xf numFmtId="0" fontId="19" fillId="0" borderId="18" xfId="0" applyFont="1" applyBorder="1" applyAlignment="1">
      <alignment horizontal="left" vertical="center"/>
    </xf>
    <xf numFmtId="0" fontId="19" fillId="0" borderId="14" xfId="0" applyFont="1" applyBorder="1"/>
    <xf numFmtId="0" fontId="24" fillId="0" borderId="0" xfId="0" applyFont="1"/>
    <xf numFmtId="0" fontId="20" fillId="0" borderId="18" xfId="0" applyFont="1" applyBorder="1"/>
    <xf numFmtId="0" fontId="19" fillId="0" borderId="17" xfId="0" applyFont="1" applyBorder="1" applyAlignment="1">
      <alignment horizontal="center" vertical="center"/>
    </xf>
    <xf numFmtId="0" fontId="25" fillId="8" borderId="25" xfId="0" applyFont="1" applyFill="1" applyBorder="1"/>
    <xf numFmtId="0" fontId="25" fillId="8" borderId="26" xfId="0" applyFont="1" applyFill="1" applyBorder="1"/>
    <xf numFmtId="0" fontId="32" fillId="0" borderId="0" xfId="19" applyFont="1" applyAlignment="1">
      <alignment horizontal="center"/>
    </xf>
    <xf numFmtId="0" fontId="18" fillId="0" borderId="0" xfId="0" applyFont="1" applyAlignment="1">
      <alignment vertical="top"/>
    </xf>
    <xf numFmtId="0" fontId="25" fillId="8" borderId="19" xfId="19" applyFont="1" applyFill="1" applyBorder="1"/>
    <xf numFmtId="0" fontId="25" fillId="8" borderId="11" xfId="19" applyFont="1" applyFill="1" applyBorder="1"/>
    <xf numFmtId="0" fontId="4" fillId="0" borderId="0" xfId="19"/>
    <xf numFmtId="0" fontId="25" fillId="8" borderId="18" xfId="19" applyFont="1" applyFill="1" applyBorder="1"/>
    <xf numFmtId="0" fontId="18" fillId="0" borderId="0" xfId="19" applyFont="1"/>
    <xf numFmtId="0" fontId="21" fillId="0" borderId="0" xfId="19" applyFont="1"/>
    <xf numFmtId="0" fontId="18" fillId="0" borderId="14" xfId="19" applyFont="1" applyBorder="1"/>
    <xf numFmtId="0" fontId="18" fillId="0" borderId="18" xfId="19" applyFont="1" applyBorder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justify"/>
    </xf>
    <xf numFmtId="0" fontId="20" fillId="0" borderId="0" xfId="0" applyFont="1"/>
    <xf numFmtId="0" fontId="19" fillId="0" borderId="0" xfId="0" applyFont="1" applyAlignment="1">
      <alignment horizontal="right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14" xfId="0" applyFont="1" applyBorder="1"/>
    <xf numFmtId="0" fontId="19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" fontId="19" fillId="0" borderId="17" xfId="0" applyNumberFormat="1" applyFont="1" applyBorder="1" applyAlignment="1">
      <alignment horizontal="center" vertical="center" wrapText="1"/>
    </xf>
    <xf numFmtId="1" fontId="33" fillId="6" borderId="17" xfId="0" applyNumberFormat="1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1" fontId="20" fillId="0" borderId="17" xfId="0" applyNumberFormat="1" applyFont="1" applyBorder="1" applyAlignment="1">
      <alignment horizontal="center" vertical="center" wrapText="1"/>
    </xf>
    <xf numFmtId="1" fontId="30" fillId="6" borderId="17" xfId="0" applyNumberFormat="1" applyFont="1" applyFill="1" applyBorder="1" applyAlignment="1">
      <alignment horizontal="center" vertical="center" wrapText="1"/>
    </xf>
    <xf numFmtId="1" fontId="20" fillId="0" borderId="17" xfId="19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35" fillId="0" borderId="0" xfId="19" applyFont="1" applyAlignment="1">
      <alignment horizontal="center" vertical="center"/>
    </xf>
    <xf numFmtId="0" fontId="35" fillId="9" borderId="0" xfId="19" applyFont="1" applyFill="1" applyAlignment="1">
      <alignment horizontal="center" vertical="center"/>
    </xf>
    <xf numFmtId="0" fontId="32" fillId="0" borderId="0" xfId="20" applyFont="1" applyAlignment="1">
      <alignment vertical="center"/>
    </xf>
    <xf numFmtId="0" fontId="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5" fillId="8" borderId="0" xfId="19" applyFont="1" applyFill="1"/>
    <xf numFmtId="0" fontId="19" fillId="0" borderId="17" xfId="0" applyFont="1" applyBorder="1" applyAlignment="1">
      <alignment horizontal="center"/>
    </xf>
    <xf numFmtId="49" fontId="39" fillId="0" borderId="17" xfId="0" applyNumberFormat="1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9" fillId="0" borderId="17" xfId="0" quotePrefix="1" applyNumberFormat="1" applyFont="1" applyBorder="1" applyAlignment="1">
      <alignment horizontal="center" vertical="center" wrapText="1"/>
    </xf>
    <xf numFmtId="0" fontId="41" fillId="10" borderId="15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" fontId="30" fillId="0" borderId="17" xfId="0" applyNumberFormat="1" applyFont="1" applyBorder="1" applyAlignment="1">
      <alignment horizontal="center" vertical="center" wrapText="1"/>
    </xf>
    <xf numFmtId="2" fontId="41" fillId="10" borderId="15" xfId="0" applyNumberFormat="1" applyFont="1" applyFill="1" applyBorder="1" applyAlignment="1">
      <alignment horizontal="center" vertical="center" wrapText="1"/>
    </xf>
    <xf numFmtId="165" fontId="20" fillId="0" borderId="17" xfId="0" applyNumberFormat="1" applyFont="1" applyBorder="1" applyAlignment="1">
      <alignment horizontal="center" vertical="center" wrapText="1"/>
    </xf>
    <xf numFmtId="166" fontId="20" fillId="0" borderId="17" xfId="0" applyNumberFormat="1" applyFont="1" applyBorder="1" applyAlignment="1">
      <alignment horizontal="center" vertical="center" wrapText="1"/>
    </xf>
    <xf numFmtId="0" fontId="21" fillId="0" borderId="0" xfId="19" applyFont="1" applyAlignment="1">
      <alignment vertical="center"/>
    </xf>
    <xf numFmtId="0" fontId="23" fillId="0" borderId="0" xfId="19" applyFont="1" applyAlignment="1">
      <alignment vertical="center"/>
    </xf>
    <xf numFmtId="0" fontId="23" fillId="0" borderId="0" xfId="19" applyFont="1" applyAlignment="1">
      <alignment vertical="top"/>
    </xf>
    <xf numFmtId="0" fontId="37" fillId="0" borderId="0" xfId="19" applyFont="1"/>
    <xf numFmtId="0" fontId="47" fillId="0" borderId="0" xfId="19" applyFont="1"/>
    <xf numFmtId="49" fontId="20" fillId="0" borderId="17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20" fillId="0" borderId="15" xfId="0" quotePrefix="1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49" fillId="0" borderId="0" xfId="19" applyFont="1" applyAlignment="1">
      <alignment horizontal="center" vertical="center"/>
    </xf>
    <xf numFmtId="0" fontId="49" fillId="9" borderId="0" xfId="19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2" fontId="48" fillId="0" borderId="0" xfId="0" applyNumberFormat="1" applyFont="1" applyAlignment="1">
      <alignment horizontal="center" vertical="center"/>
    </xf>
    <xf numFmtId="1" fontId="20" fillId="0" borderId="2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53" fillId="0" borderId="0" xfId="0" applyFont="1" applyAlignment="1">
      <alignment horizontal="left" indent="2"/>
    </xf>
    <xf numFmtId="0" fontId="53" fillId="0" borderId="0" xfId="0" applyFont="1" applyAlignment="1">
      <alignment horizontal="left"/>
    </xf>
    <xf numFmtId="0" fontId="53" fillId="0" borderId="34" xfId="0" applyFont="1" applyBorder="1" applyAlignment="1">
      <alignment horizontal="left" indent="2"/>
    </xf>
    <xf numFmtId="49" fontId="20" fillId="0" borderId="17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 wrapText="1"/>
    </xf>
    <xf numFmtId="1" fontId="20" fillId="0" borderId="17" xfId="0" applyNumberFormat="1" applyFont="1" applyBorder="1" applyAlignment="1">
      <alignment horizontal="center" vertical="center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20" fillId="0" borderId="0" xfId="19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49" fontId="3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1" fontId="20" fillId="0" borderId="17" xfId="19" applyNumberFormat="1" applyFont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49" fontId="20" fillId="9" borderId="17" xfId="0" applyNumberFormat="1" applyFont="1" applyFill="1" applyBorder="1" applyAlignment="1">
      <alignment horizontal="center" vertical="center"/>
    </xf>
    <xf numFmtId="1" fontId="30" fillId="9" borderId="17" xfId="0" applyNumberFormat="1" applyFont="1" applyFill="1" applyBorder="1" applyAlignment="1">
      <alignment horizontal="center" vertical="center" wrapText="1"/>
    </xf>
    <xf numFmtId="0" fontId="48" fillId="11" borderId="23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2" fontId="20" fillId="0" borderId="15" xfId="0" applyNumberFormat="1" applyFont="1" applyBorder="1" applyAlignment="1">
      <alignment horizontal="center" vertical="center" wrapText="1"/>
    </xf>
    <xf numFmtId="2" fontId="41" fillId="0" borderId="15" xfId="0" applyNumberFormat="1" applyFont="1" applyBorder="1" applyAlignment="1">
      <alignment horizontal="center" vertical="center" wrapText="1"/>
    </xf>
    <xf numFmtId="0" fontId="19" fillId="12" borderId="17" xfId="0" applyFont="1" applyFill="1" applyBorder="1" applyAlignment="1">
      <alignment horizontal="center" vertical="center" wrapText="1"/>
    </xf>
    <xf numFmtId="0" fontId="20" fillId="12" borderId="17" xfId="0" applyFont="1" applyFill="1" applyBorder="1" applyAlignment="1">
      <alignment horizontal="center" vertical="center" wrapText="1"/>
    </xf>
    <xf numFmtId="1" fontId="19" fillId="12" borderId="17" xfId="0" applyNumberFormat="1" applyFont="1" applyFill="1" applyBorder="1" applyAlignment="1">
      <alignment horizontal="center" vertical="center" wrapText="1"/>
    </xf>
    <xf numFmtId="1" fontId="33" fillId="12" borderId="17" xfId="0" applyNumberFormat="1" applyFont="1" applyFill="1" applyBorder="1" applyAlignment="1">
      <alignment horizontal="center" vertical="center" wrapText="1"/>
    </xf>
    <xf numFmtId="0" fontId="19" fillId="12" borderId="17" xfId="0" applyFont="1" applyFill="1" applyBorder="1" applyAlignment="1">
      <alignment vertical="center" wrapText="1"/>
    </xf>
    <xf numFmtId="1" fontId="20" fillId="12" borderId="17" xfId="0" applyNumberFormat="1" applyFont="1" applyFill="1" applyBorder="1" applyAlignment="1">
      <alignment horizontal="center" vertical="center" wrapText="1"/>
    </xf>
    <xf numFmtId="1" fontId="30" fillId="12" borderId="17" xfId="0" applyNumberFormat="1" applyFont="1" applyFill="1" applyBorder="1" applyAlignment="1">
      <alignment horizontal="center" vertical="center" wrapText="1"/>
    </xf>
    <xf numFmtId="0" fontId="20" fillId="12" borderId="17" xfId="0" applyFont="1" applyFill="1" applyBorder="1" applyAlignment="1">
      <alignment vertical="center" wrapText="1"/>
    </xf>
    <xf numFmtId="49" fontId="39" fillId="12" borderId="17" xfId="0" quotePrefix="1" applyNumberFormat="1" applyFont="1" applyFill="1" applyBorder="1" applyAlignment="1">
      <alignment horizontal="center" vertical="center" wrapText="1"/>
    </xf>
    <xf numFmtId="1" fontId="20" fillId="12" borderId="17" xfId="19" applyNumberFormat="1" applyFont="1" applyFill="1" applyBorder="1" applyAlignment="1">
      <alignment horizontal="center" vertical="center"/>
    </xf>
    <xf numFmtId="0" fontId="29" fillId="13" borderId="17" xfId="0" applyFont="1" applyFill="1" applyBorder="1" applyAlignment="1">
      <alignment vertical="center" wrapText="1"/>
    </xf>
    <xf numFmtId="2" fontId="19" fillId="12" borderId="17" xfId="0" applyNumberFormat="1" applyFont="1" applyFill="1" applyBorder="1" applyAlignment="1">
      <alignment horizontal="center" vertical="center" wrapText="1"/>
    </xf>
    <xf numFmtId="0" fontId="41" fillId="14" borderId="15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2" fontId="41" fillId="14" borderId="15" xfId="0" applyNumberFormat="1" applyFont="1" applyFill="1" applyBorder="1" applyAlignment="1">
      <alignment horizontal="center" vertical="center" wrapText="1"/>
    </xf>
    <xf numFmtId="0" fontId="55" fillId="15" borderId="36" xfId="0" applyFont="1" applyFill="1" applyBorder="1" applyAlignment="1">
      <alignment horizontal="left" vertical="center"/>
    </xf>
    <xf numFmtId="0" fontId="56" fillId="15" borderId="37" xfId="0" applyFont="1" applyFill="1" applyBorder="1" applyAlignment="1">
      <alignment vertical="center"/>
    </xf>
    <xf numFmtId="0" fontId="0" fillId="15" borderId="37" xfId="0" applyFill="1" applyBorder="1"/>
    <xf numFmtId="0" fontId="55" fillId="15" borderId="37" xfId="0" applyFont="1" applyFill="1" applyBorder="1"/>
    <xf numFmtId="0" fontId="55" fillId="15" borderId="38" xfId="0" applyFont="1" applyFill="1" applyBorder="1"/>
    <xf numFmtId="0" fontId="55" fillId="15" borderId="39" xfId="0" applyFont="1" applyFill="1" applyBorder="1" applyAlignment="1">
      <alignment vertical="center"/>
    </xf>
    <xf numFmtId="168" fontId="56" fillId="15" borderId="40" xfId="0" applyNumberFormat="1" applyFont="1" applyFill="1" applyBorder="1" applyAlignment="1">
      <alignment horizontal="right" vertical="center"/>
    </xf>
    <xf numFmtId="0" fontId="56" fillId="15" borderId="41" xfId="0" applyFont="1" applyFill="1" applyBorder="1" applyAlignment="1">
      <alignment horizontal="left" vertical="center"/>
    </xf>
    <xf numFmtId="0" fontId="56" fillId="15" borderId="42" xfId="0" applyFont="1" applyFill="1" applyBorder="1" applyAlignment="1">
      <alignment horizontal="left" vertical="center"/>
    </xf>
    <xf numFmtId="0" fontId="0" fillId="15" borderId="42" xfId="0" applyFill="1" applyBorder="1"/>
    <xf numFmtId="0" fontId="56" fillId="15" borderId="42" xfId="0" applyFont="1" applyFill="1" applyBorder="1" applyAlignment="1">
      <alignment horizontal="right" vertical="center"/>
    </xf>
    <xf numFmtId="0" fontId="56" fillId="15" borderId="43" xfId="0" applyFont="1" applyFill="1" applyBorder="1" applyAlignment="1">
      <alignment horizontal="right" vertical="center"/>
    </xf>
    <xf numFmtId="0" fontId="55" fillId="0" borderId="39" xfId="0" applyFont="1" applyBorder="1" applyAlignment="1">
      <alignment horizontal="left" vertical="center"/>
    </xf>
    <xf numFmtId="0" fontId="55" fillId="0" borderId="0" xfId="0" applyFont="1"/>
    <xf numFmtId="0" fontId="55" fillId="0" borderId="0" xfId="0" applyFont="1" applyAlignment="1">
      <alignment horizontal="right" vertical="center"/>
    </xf>
    <xf numFmtId="167" fontId="55" fillId="0" borderId="0" xfId="0" applyNumberFormat="1" applyFont="1" applyAlignment="1">
      <alignment horizontal="right" vertical="center"/>
    </xf>
    <xf numFmtId="168" fontId="55" fillId="0" borderId="0" xfId="0" applyNumberFormat="1" applyFont="1" applyAlignment="1">
      <alignment horizontal="right" vertical="center"/>
    </xf>
    <xf numFmtId="168" fontId="55" fillId="0" borderId="40" xfId="0" applyNumberFormat="1" applyFont="1" applyBorder="1" applyAlignment="1">
      <alignment horizontal="right" vertical="center"/>
    </xf>
    <xf numFmtId="0" fontId="55" fillId="0" borderId="39" xfId="0" applyFont="1" applyBorder="1"/>
    <xf numFmtId="0" fontId="55" fillId="0" borderId="0" xfId="0" applyFont="1" applyAlignment="1">
      <alignment horizontal="right"/>
    </xf>
    <xf numFmtId="168" fontId="56" fillId="0" borderId="0" xfId="0" applyNumberFormat="1" applyFont="1" applyAlignment="1">
      <alignment horizontal="right" vertical="center"/>
    </xf>
    <xf numFmtId="168" fontId="56" fillId="0" borderId="40" xfId="0" applyNumberFormat="1" applyFont="1" applyBorder="1" applyAlignment="1">
      <alignment horizontal="right" vertical="center"/>
    </xf>
    <xf numFmtId="0" fontId="55" fillId="0" borderId="40" xfId="0" applyFont="1" applyBorder="1"/>
    <xf numFmtId="0" fontId="55" fillId="0" borderId="41" xfId="0" applyFont="1" applyBorder="1"/>
    <xf numFmtId="0" fontId="55" fillId="0" borderId="42" xfId="0" applyFont="1" applyBorder="1"/>
    <xf numFmtId="0" fontId="0" fillId="0" borderId="42" xfId="0" applyBorder="1"/>
    <xf numFmtId="168" fontId="56" fillId="0" borderId="42" xfId="0" applyNumberFormat="1" applyFont="1" applyBorder="1" applyAlignment="1">
      <alignment horizontal="right" vertical="center"/>
    </xf>
    <xf numFmtId="168" fontId="56" fillId="0" borderId="43" xfId="0" applyNumberFormat="1" applyFont="1" applyBorder="1" applyAlignment="1">
      <alignment horizontal="right" vertical="center"/>
    </xf>
    <xf numFmtId="0" fontId="55" fillId="15" borderId="37" xfId="0" applyFont="1" applyFill="1" applyBorder="1" applyAlignment="1">
      <alignment horizontal="right"/>
    </xf>
    <xf numFmtId="2" fontId="0" fillId="0" borderId="0" xfId="0" applyNumberFormat="1"/>
    <xf numFmtId="0" fontId="55" fillId="0" borderId="42" xfId="0" applyFont="1" applyBorder="1" applyAlignment="1">
      <alignment horizontal="right"/>
    </xf>
    <xf numFmtId="0" fontId="55" fillId="15" borderId="0" xfId="0" applyFont="1" applyFill="1" applyAlignment="1">
      <alignment horizontal="center" vertical="center"/>
    </xf>
    <xf numFmtId="170" fontId="58" fillId="15" borderId="0" xfId="0" applyNumberFormat="1" applyFont="1" applyFill="1" applyAlignment="1">
      <alignment horizontal="left" vertical="center"/>
    </xf>
    <xf numFmtId="167" fontId="56" fillId="15" borderId="0" xfId="0" applyNumberFormat="1" applyFont="1" applyFill="1" applyAlignment="1">
      <alignment horizontal="center" vertical="center"/>
    </xf>
    <xf numFmtId="0" fontId="0" fillId="15" borderId="0" xfId="0" applyFill="1"/>
    <xf numFmtId="0" fontId="55" fillId="15" borderId="0" xfId="0" applyFont="1" applyFill="1" applyAlignment="1">
      <alignment horizontal="right" vertical="center"/>
    </xf>
    <xf numFmtId="165" fontId="59" fillId="15" borderId="37" xfId="0" applyNumberFormat="1" applyFont="1" applyFill="1" applyBorder="1" applyAlignment="1">
      <alignment horizontal="center" vertical="center" wrapText="1"/>
    </xf>
    <xf numFmtId="0" fontId="41" fillId="10" borderId="17" xfId="0" applyFont="1" applyFill="1" applyBorder="1" applyAlignment="1">
      <alignment horizontal="center" vertical="center" wrapText="1"/>
    </xf>
    <xf numFmtId="2" fontId="20" fillId="0" borderId="17" xfId="0" applyNumberFormat="1" applyFont="1" applyBorder="1" applyAlignment="1">
      <alignment horizontal="right" vertical="center" wrapText="1"/>
    </xf>
    <xf numFmtId="2" fontId="19" fillId="0" borderId="17" xfId="0" applyNumberFormat="1" applyFont="1" applyBorder="1" applyAlignment="1">
      <alignment horizontal="right" vertical="center" wrapText="1"/>
    </xf>
    <xf numFmtId="2" fontId="19" fillId="12" borderId="17" xfId="0" applyNumberFormat="1" applyFont="1" applyFill="1" applyBorder="1" applyAlignment="1">
      <alignment horizontal="right" vertical="center" wrapText="1"/>
    </xf>
    <xf numFmtId="2" fontId="20" fillId="12" borderId="17" xfId="0" applyNumberFormat="1" applyFont="1" applyFill="1" applyBorder="1" applyAlignment="1">
      <alignment horizontal="right" vertical="center" wrapText="1"/>
    </xf>
    <xf numFmtId="2" fontId="20" fillId="0" borderId="17" xfId="0" applyNumberFormat="1" applyFont="1" applyBorder="1" applyAlignment="1">
      <alignment vertical="center" wrapText="1"/>
    </xf>
    <xf numFmtId="2" fontId="20" fillId="9" borderId="17" xfId="0" applyNumberFormat="1" applyFont="1" applyFill="1" applyBorder="1" applyAlignment="1">
      <alignment horizontal="right" vertical="center" wrapText="1"/>
    </xf>
    <xf numFmtId="2" fontId="20" fillId="0" borderId="15" xfId="0" applyNumberFormat="1" applyFont="1" applyBorder="1" applyAlignment="1">
      <alignment horizontal="right" vertical="center" wrapText="1"/>
    </xf>
    <xf numFmtId="170" fontId="58" fillId="9" borderId="0" xfId="0" applyNumberFormat="1" applyFont="1" applyFill="1" applyAlignment="1">
      <alignment horizontal="left" vertical="center"/>
    </xf>
    <xf numFmtId="0" fontId="55" fillId="0" borderId="42" xfId="0" applyFont="1" applyBorder="1" applyAlignment="1">
      <alignment horizontal="left"/>
    </xf>
    <xf numFmtId="168" fontId="55" fillId="9" borderId="0" xfId="0" applyNumberFormat="1" applyFont="1" applyFill="1" applyAlignment="1">
      <alignment horizontal="right" vertical="center"/>
    </xf>
    <xf numFmtId="49" fontId="50" fillId="0" borderId="18" xfId="0" applyNumberFormat="1" applyFont="1" applyBorder="1" applyAlignment="1">
      <alignment horizontal="left" vertical="center" wrapText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left" vertical="center"/>
    </xf>
    <xf numFmtId="1" fontId="50" fillId="0" borderId="0" xfId="0" applyNumberFormat="1" applyFont="1" applyAlignment="1">
      <alignment horizontal="center" vertical="center" wrapText="1"/>
    </xf>
    <xf numFmtId="43" fontId="58" fillId="16" borderId="47" xfId="0" applyNumberFormat="1" applyFont="1" applyFill="1" applyBorder="1" applyAlignment="1">
      <alignment horizontal="right" vertical="center" wrapText="1"/>
    </xf>
    <xf numFmtId="43" fontId="5" fillId="0" borderId="50" xfId="0" applyNumberFormat="1" applyFont="1" applyBorder="1" applyAlignment="1">
      <alignment horizontal="right" vertical="center" wrapText="1"/>
    </xf>
    <xf numFmtId="43" fontId="5" fillId="0" borderId="43" xfId="0" applyNumberFormat="1" applyFont="1" applyBorder="1" applyAlignment="1">
      <alignment horizontal="right" vertical="center" wrapText="1"/>
    </xf>
    <xf numFmtId="43" fontId="50" fillId="0" borderId="0" xfId="23" applyFont="1" applyFill="1" applyBorder="1" applyAlignment="1">
      <alignment horizontal="center" vertical="center" wrapText="1"/>
    </xf>
    <xf numFmtId="49" fontId="50" fillId="0" borderId="53" xfId="0" applyNumberFormat="1" applyFont="1" applyBorder="1" applyAlignment="1">
      <alignment vertical="center" wrapText="1"/>
    </xf>
    <xf numFmtId="0" fontId="55" fillId="17" borderId="39" xfId="0" applyFont="1" applyFill="1" applyBorder="1" applyAlignment="1">
      <alignment horizontal="left" vertical="center"/>
    </xf>
    <xf numFmtId="0" fontId="55" fillId="17" borderId="0" xfId="0" applyFont="1" applyFill="1"/>
    <xf numFmtId="0" fontId="0" fillId="17" borderId="0" xfId="0" applyFill="1"/>
    <xf numFmtId="0" fontId="55" fillId="17" borderId="0" xfId="0" applyFont="1" applyFill="1" applyAlignment="1">
      <alignment horizontal="right" vertical="center"/>
    </xf>
    <xf numFmtId="167" fontId="55" fillId="17" borderId="0" xfId="0" applyNumberFormat="1" applyFont="1" applyFill="1" applyAlignment="1">
      <alignment horizontal="right" vertical="center"/>
    </xf>
    <xf numFmtId="168" fontId="55" fillId="17" borderId="0" xfId="0" applyNumberFormat="1" applyFont="1" applyFill="1" applyAlignment="1">
      <alignment horizontal="right" vertical="center"/>
    </xf>
    <xf numFmtId="168" fontId="55" fillId="17" borderId="40" xfId="0" applyNumberFormat="1" applyFont="1" applyFill="1" applyBorder="1" applyAlignment="1">
      <alignment horizontal="right" vertical="center"/>
    </xf>
    <xf numFmtId="0" fontId="3" fillId="17" borderId="0" xfId="0" applyFont="1" applyFill="1" applyAlignment="1">
      <alignment horizontal="center" vertical="center"/>
    </xf>
    <xf numFmtId="0" fontId="55" fillId="0" borderId="36" xfId="0" applyFont="1" applyBorder="1"/>
    <xf numFmtId="0" fontId="55" fillId="0" borderId="37" xfId="0" applyFont="1" applyBorder="1"/>
    <xf numFmtId="0" fontId="0" fillId="0" borderId="37" xfId="0" applyBorder="1"/>
    <xf numFmtId="0" fontId="55" fillId="0" borderId="37" xfId="0" applyFont="1" applyBorder="1" applyAlignment="1">
      <alignment horizontal="right"/>
    </xf>
    <xf numFmtId="0" fontId="55" fillId="0" borderId="38" xfId="0" applyFont="1" applyBorder="1"/>
    <xf numFmtId="0" fontId="55" fillId="18" borderId="39" xfId="0" applyFont="1" applyFill="1" applyBorder="1" applyAlignment="1">
      <alignment horizontal="left" vertical="center"/>
    </xf>
    <xf numFmtId="0" fontId="55" fillId="18" borderId="0" xfId="0" applyFont="1" applyFill="1"/>
    <xf numFmtId="0" fontId="0" fillId="18" borderId="0" xfId="0" applyFill="1"/>
    <xf numFmtId="0" fontId="55" fillId="18" borderId="0" xfId="0" applyFont="1" applyFill="1" applyAlignment="1">
      <alignment horizontal="right" vertical="center"/>
    </xf>
    <xf numFmtId="167" fontId="55" fillId="18" borderId="0" xfId="0" applyNumberFormat="1" applyFont="1" applyFill="1" applyAlignment="1">
      <alignment horizontal="right" vertical="center"/>
    </xf>
    <xf numFmtId="168" fontId="55" fillId="18" borderId="0" xfId="0" applyNumberFormat="1" applyFont="1" applyFill="1" applyAlignment="1">
      <alignment horizontal="right" vertical="center"/>
    </xf>
    <xf numFmtId="168" fontId="55" fillId="18" borderId="40" xfId="0" applyNumberFormat="1" applyFont="1" applyFill="1" applyBorder="1" applyAlignment="1">
      <alignment horizontal="right" vertical="center"/>
    </xf>
    <xf numFmtId="0" fontId="3" fillId="18" borderId="0" xfId="0" applyFont="1" applyFill="1"/>
    <xf numFmtId="0" fontId="3" fillId="18" borderId="0" xfId="0" applyFont="1" applyFill="1" applyAlignment="1">
      <alignment horizontal="center" vertical="center"/>
    </xf>
    <xf numFmtId="0" fontId="2" fillId="0" borderId="0" xfId="25"/>
    <xf numFmtId="0" fontId="2" fillId="0" borderId="39" xfId="25" applyBorder="1"/>
    <xf numFmtId="0" fontId="2" fillId="0" borderId="40" xfId="25" applyBorder="1"/>
    <xf numFmtId="0" fontId="2" fillId="0" borderId="54" xfId="25" applyBorder="1"/>
    <xf numFmtId="0" fontId="2" fillId="0" borderId="36" xfId="25" applyBorder="1"/>
    <xf numFmtId="0" fontId="2" fillId="0" borderId="38" xfId="25" applyBorder="1" applyAlignment="1">
      <alignment horizontal="center"/>
    </xf>
    <xf numFmtId="0" fontId="2" fillId="0" borderId="54" xfId="25" applyBorder="1" applyAlignment="1">
      <alignment horizontal="center"/>
    </xf>
    <xf numFmtId="0" fontId="2" fillId="9" borderId="55" xfId="25" applyFill="1" applyBorder="1"/>
    <xf numFmtId="0" fontId="2" fillId="0" borderId="56" xfId="25" applyBorder="1"/>
    <xf numFmtId="0" fontId="2" fillId="0" borderId="41" xfId="25" applyBorder="1"/>
    <xf numFmtId="0" fontId="2" fillId="0" borderId="43" xfId="25" applyBorder="1" applyAlignment="1">
      <alignment horizontal="center"/>
    </xf>
    <xf numFmtId="0" fontId="2" fillId="0" borderId="56" xfId="25" applyBorder="1" applyAlignment="1">
      <alignment horizontal="center"/>
    </xf>
    <xf numFmtId="0" fontId="2" fillId="9" borderId="39" xfId="25" applyFill="1" applyBorder="1"/>
    <xf numFmtId="0" fontId="2" fillId="9" borderId="40" xfId="25" applyFill="1" applyBorder="1" applyAlignment="1">
      <alignment horizontal="center"/>
    </xf>
    <xf numFmtId="2" fontId="69" fillId="9" borderId="55" xfId="25" applyNumberFormat="1" applyFont="1" applyFill="1" applyBorder="1" applyAlignment="1">
      <alignment horizontal="center"/>
    </xf>
    <xf numFmtId="0" fontId="2" fillId="0" borderId="55" xfId="25" applyBorder="1"/>
    <xf numFmtId="0" fontId="2" fillId="0" borderId="40" xfId="25" applyBorder="1" applyAlignment="1">
      <alignment horizontal="center"/>
    </xf>
    <xf numFmtId="2" fontId="2" fillId="0" borderId="55" xfId="25" applyNumberFormat="1" applyBorder="1" applyAlignment="1">
      <alignment horizontal="center"/>
    </xf>
    <xf numFmtId="10" fontId="0" fillId="0" borderId="40" xfId="26" applyNumberFormat="1" applyFont="1" applyBorder="1" applyAlignment="1">
      <alignment horizontal="center"/>
    </xf>
    <xf numFmtId="2" fontId="2" fillId="0" borderId="40" xfId="25" applyNumberFormat="1" applyBorder="1" applyAlignment="1">
      <alignment horizontal="center"/>
    </xf>
    <xf numFmtId="0" fontId="2" fillId="0" borderId="9" xfId="25" applyBorder="1"/>
    <xf numFmtId="0" fontId="2" fillId="0" borderId="57" xfId="25" applyBorder="1"/>
    <xf numFmtId="0" fontId="2" fillId="0" borderId="58" xfId="25" applyBorder="1" applyAlignment="1">
      <alignment horizontal="center"/>
    </xf>
    <xf numFmtId="2" fontId="2" fillId="0" borderId="9" xfId="25" applyNumberFormat="1" applyBorder="1" applyAlignment="1">
      <alignment horizontal="center"/>
    </xf>
    <xf numFmtId="0" fontId="2" fillId="0" borderId="7" xfId="25" applyBorder="1"/>
    <xf numFmtId="0" fontId="2" fillId="0" borderId="59" xfId="25" applyBorder="1"/>
    <xf numFmtId="0" fontId="2" fillId="0" borderId="60" xfId="25" applyBorder="1" applyAlignment="1">
      <alignment horizontal="center"/>
    </xf>
    <xf numFmtId="2" fontId="2" fillId="0" borderId="7" xfId="25" applyNumberFormat="1" applyBorder="1" applyAlignment="1">
      <alignment horizontal="center"/>
    </xf>
    <xf numFmtId="0" fontId="2" fillId="0" borderId="8" xfId="25" applyBorder="1"/>
    <xf numFmtId="0" fontId="2" fillId="0" borderId="61" xfId="25" applyBorder="1"/>
    <xf numFmtId="2" fontId="2" fillId="0" borderId="62" xfId="25" applyNumberFormat="1" applyBorder="1" applyAlignment="1">
      <alignment horizontal="center"/>
    </xf>
    <xf numFmtId="0" fontId="2" fillId="20" borderId="56" xfId="25" applyFill="1" applyBorder="1"/>
    <xf numFmtId="0" fontId="2" fillId="20" borderId="41" xfId="25" applyFill="1" applyBorder="1"/>
    <xf numFmtId="0" fontId="2" fillId="20" borderId="43" xfId="25" applyFill="1" applyBorder="1" applyAlignment="1">
      <alignment horizontal="center"/>
    </xf>
    <xf numFmtId="2" fontId="2" fillId="20" borderId="56" xfId="25" applyNumberFormat="1" applyFill="1" applyBorder="1" applyAlignment="1">
      <alignment horizontal="center"/>
    </xf>
    <xf numFmtId="0" fontId="8" fillId="22" borderId="66" xfId="27" applyFont="1" applyFill="1" applyBorder="1" applyAlignment="1">
      <alignment horizontal="center" vertical="center"/>
    </xf>
    <xf numFmtId="0" fontId="8" fillId="22" borderId="0" xfId="27" applyFont="1" applyFill="1" applyAlignment="1">
      <alignment vertical="center"/>
    </xf>
    <xf numFmtId="0" fontId="7" fillId="22" borderId="67" xfId="27" applyFont="1" applyFill="1" applyBorder="1" applyAlignment="1">
      <alignment vertical="center"/>
    </xf>
    <xf numFmtId="4" fontId="71" fillId="22" borderId="40" xfId="28" applyNumberFormat="1" applyFont="1" applyFill="1" applyBorder="1" applyAlignment="1">
      <alignment vertical="center"/>
    </xf>
    <xf numFmtId="0" fontId="7" fillId="22" borderId="66" xfId="27" applyFont="1" applyFill="1" applyBorder="1" applyAlignment="1">
      <alignment horizontal="center" vertical="center"/>
    </xf>
    <xf numFmtId="0" fontId="7" fillId="22" borderId="0" xfId="25" applyFont="1" applyFill="1" applyAlignment="1">
      <alignment horizontal="left" vertical="center" indent="3"/>
    </xf>
    <xf numFmtId="2" fontId="4" fillId="23" borderId="53" xfId="27" applyNumberFormat="1" applyFill="1" applyBorder="1" applyAlignment="1">
      <alignment vertical="center"/>
    </xf>
    <xf numFmtId="4" fontId="72" fillId="16" borderId="40" xfId="28" applyNumberFormat="1" applyFont="1" applyFill="1" applyBorder="1" applyAlignment="1">
      <alignment vertical="center"/>
    </xf>
    <xf numFmtId="4" fontId="72" fillId="23" borderId="40" xfId="28" applyNumberFormat="1" applyFont="1" applyFill="1" applyBorder="1" applyAlignment="1">
      <alignment vertical="center"/>
    </xf>
    <xf numFmtId="0" fontId="73" fillId="0" borderId="0" xfId="25" applyFont="1"/>
    <xf numFmtId="2" fontId="4" fillId="22" borderId="53" xfId="27" applyNumberFormat="1" applyFill="1" applyBorder="1" applyAlignment="1">
      <alignment vertical="center"/>
    </xf>
    <xf numFmtId="4" fontId="72" fillId="16" borderId="40" xfId="27" applyNumberFormat="1" applyFont="1" applyFill="1" applyBorder="1" applyAlignment="1">
      <alignment horizontal="right" vertical="center"/>
    </xf>
    <xf numFmtId="4" fontId="72" fillId="22" borderId="40" xfId="27" applyNumberFormat="1" applyFont="1" applyFill="1" applyBorder="1" applyAlignment="1">
      <alignment horizontal="right" vertical="center"/>
    </xf>
    <xf numFmtId="4" fontId="71" fillId="22" borderId="40" xfId="27" applyNumberFormat="1" applyFont="1" applyFill="1" applyBorder="1" applyAlignment="1">
      <alignment horizontal="right" vertical="center"/>
    </xf>
    <xf numFmtId="0" fontId="7" fillId="22" borderId="0" xfId="27" applyFont="1" applyFill="1" applyAlignment="1">
      <alignment horizontal="left" vertical="center" indent="3"/>
    </xf>
    <xf numFmtId="0" fontId="7" fillId="22" borderId="0" xfId="27" applyFont="1" applyFill="1" applyAlignment="1">
      <alignment horizontal="left" vertical="center"/>
    </xf>
    <xf numFmtId="0" fontId="7" fillId="22" borderId="14" xfId="27" applyFont="1" applyFill="1" applyBorder="1" applyAlignment="1">
      <alignment horizontal="left" vertical="center"/>
    </xf>
    <xf numFmtId="2" fontId="4" fillId="23" borderId="53" xfId="27" applyNumberFormat="1" applyFill="1" applyBorder="1" applyAlignment="1">
      <alignment horizontal="center" vertical="center"/>
    </xf>
    <xf numFmtId="2" fontId="72" fillId="16" borderId="40" xfId="28" applyNumberFormat="1" applyFont="1" applyFill="1" applyBorder="1" applyAlignment="1">
      <alignment vertical="center"/>
    </xf>
    <xf numFmtId="2" fontId="72" fillId="23" borderId="40" xfId="28" applyNumberFormat="1" applyFont="1" applyFill="1" applyBorder="1" applyAlignment="1">
      <alignment vertical="center"/>
    </xf>
    <xf numFmtId="2" fontId="4" fillId="22" borderId="14" xfId="27" applyNumberFormat="1" applyFill="1" applyBorder="1" applyAlignment="1">
      <alignment vertical="center"/>
    </xf>
    <xf numFmtId="4" fontId="74" fillId="9" borderId="40" xfId="27" applyNumberFormat="1" applyFont="1" applyFill="1" applyBorder="1" applyAlignment="1">
      <alignment horizontal="right" vertical="center"/>
    </xf>
    <xf numFmtId="0" fontId="8" fillId="22" borderId="39" xfId="27" applyFont="1" applyFill="1" applyBorder="1" applyAlignment="1">
      <alignment horizontal="center" vertical="center"/>
    </xf>
    <xf numFmtId="0" fontId="75" fillId="0" borderId="70" xfId="27" applyFont="1" applyBorder="1" applyAlignment="1">
      <alignment vertical="center"/>
    </xf>
    <xf numFmtId="4" fontId="8" fillId="0" borderId="71" xfId="27" applyNumberFormat="1" applyFont="1" applyBorder="1" applyAlignment="1">
      <alignment vertical="center"/>
    </xf>
    <xf numFmtId="4" fontId="75" fillId="0" borderId="71" xfId="27" applyNumberFormat="1" applyFont="1" applyBorder="1" applyAlignment="1">
      <alignment vertical="center"/>
    </xf>
    <xf numFmtId="0" fontId="75" fillId="21" borderId="51" xfId="27" applyFont="1" applyFill="1" applyBorder="1" applyAlignment="1">
      <alignment horizontal="left" vertical="center" indent="4"/>
    </xf>
    <xf numFmtId="0" fontId="75" fillId="21" borderId="52" xfId="27" applyFont="1" applyFill="1" applyBorder="1" applyAlignment="1">
      <alignment horizontal="left" vertical="center" indent="4"/>
    </xf>
    <xf numFmtId="171" fontId="76" fillId="21" borderId="69" xfId="27" applyNumberFormat="1" applyFont="1" applyFill="1" applyBorder="1" applyAlignment="1">
      <alignment horizontal="right" vertical="center"/>
    </xf>
    <xf numFmtId="2" fontId="76" fillId="21" borderId="71" xfId="27" applyNumberFormat="1" applyFont="1" applyFill="1" applyBorder="1" applyAlignment="1">
      <alignment horizontal="right" vertical="center"/>
    </xf>
    <xf numFmtId="4" fontId="2" fillId="0" borderId="0" xfId="25" applyNumberFormat="1"/>
    <xf numFmtId="4" fontId="2" fillId="0" borderId="40" xfId="25" applyNumberFormat="1" applyBorder="1"/>
    <xf numFmtId="0" fontId="77" fillId="24" borderId="39" xfId="25" applyFont="1" applyFill="1" applyBorder="1"/>
    <xf numFmtId="0" fontId="77" fillId="24" borderId="0" xfId="25" applyFont="1" applyFill="1" applyAlignment="1">
      <alignment horizontal="center" vertical="center"/>
    </xf>
    <xf numFmtId="172" fontId="78" fillId="24" borderId="40" xfId="25" applyNumberFormat="1" applyFont="1" applyFill="1" applyBorder="1"/>
    <xf numFmtId="0" fontId="77" fillId="20" borderId="39" xfId="25" applyFont="1" applyFill="1" applyBorder="1"/>
    <xf numFmtId="0" fontId="77" fillId="20" borderId="0" xfId="25" applyFont="1" applyFill="1" applyAlignment="1">
      <alignment horizontal="center" vertical="center"/>
    </xf>
    <xf numFmtId="172" fontId="77" fillId="20" borderId="0" xfId="25" applyNumberFormat="1" applyFont="1" applyFill="1" applyAlignment="1">
      <alignment horizontal="center" vertical="center"/>
    </xf>
    <xf numFmtId="174" fontId="78" fillId="20" borderId="40" xfId="29" applyNumberFormat="1" applyFont="1" applyFill="1" applyBorder="1"/>
    <xf numFmtId="171" fontId="77" fillId="20" borderId="0" xfId="25" applyNumberFormat="1" applyFont="1" applyFill="1" applyAlignment="1">
      <alignment horizontal="center" vertical="center"/>
    </xf>
    <xf numFmtId="0" fontId="2" fillId="12" borderId="39" xfId="25" applyFill="1" applyBorder="1"/>
    <xf numFmtId="0" fontId="2" fillId="12" borderId="0" xfId="25" applyFill="1" applyAlignment="1">
      <alignment horizontal="center" vertical="center"/>
    </xf>
    <xf numFmtId="4" fontId="72" fillId="12" borderId="40" xfId="25" applyNumberFormat="1" applyFont="1" applyFill="1" applyBorder="1"/>
    <xf numFmtId="0" fontId="69" fillId="25" borderId="72" xfId="25" applyFont="1" applyFill="1" applyBorder="1"/>
    <xf numFmtId="0" fontId="69" fillId="25" borderId="17" xfId="25" applyFont="1" applyFill="1" applyBorder="1" applyAlignment="1">
      <alignment horizontal="center" vertical="center"/>
    </xf>
    <xf numFmtId="172" fontId="74" fillId="25" borderId="73" xfId="30" applyNumberFormat="1" applyFont="1" applyFill="1" applyBorder="1"/>
    <xf numFmtId="0" fontId="69" fillId="20" borderId="74" xfId="25" applyFont="1" applyFill="1" applyBorder="1"/>
    <xf numFmtId="0" fontId="79" fillId="20" borderId="42" xfId="25" applyFont="1" applyFill="1" applyBorder="1" applyAlignment="1">
      <alignment horizontal="center" vertical="center"/>
    </xf>
    <xf numFmtId="172" fontId="79" fillId="20" borderId="42" xfId="25" applyNumberFormat="1" applyFont="1" applyFill="1" applyBorder="1" applyAlignment="1">
      <alignment horizontal="center" vertical="center"/>
    </xf>
    <xf numFmtId="174" fontId="80" fillId="9" borderId="43" xfId="25" applyNumberFormat="1" applyFont="1" applyFill="1" applyBorder="1"/>
    <xf numFmtId="171" fontId="79" fillId="20" borderId="42" xfId="25" applyNumberFormat="1" applyFont="1" applyFill="1" applyBorder="1" applyAlignment="1">
      <alignment horizontal="center" vertical="center"/>
    </xf>
    <xf numFmtId="0" fontId="2" fillId="0" borderId="42" xfId="25" applyBorder="1"/>
    <xf numFmtId="4" fontId="2" fillId="0" borderId="42" xfId="25" applyNumberFormat="1" applyBorder="1"/>
    <xf numFmtId="0" fontId="2" fillId="0" borderId="43" xfId="25" applyBorder="1"/>
    <xf numFmtId="43" fontId="2" fillId="0" borderId="0" xfId="25" applyNumberFormat="1"/>
    <xf numFmtId="172" fontId="2" fillId="0" borderId="0" xfId="25" applyNumberFormat="1"/>
    <xf numFmtId="0" fontId="66" fillId="26" borderId="0" xfId="25" applyFont="1" applyFill="1" applyAlignment="1">
      <alignment horizontal="center"/>
    </xf>
    <xf numFmtId="0" fontId="2" fillId="27" borderId="0" xfId="25" applyFill="1" applyAlignment="1">
      <alignment horizontal="center" vertical="center" wrapText="1"/>
    </xf>
    <xf numFmtId="2" fontId="66" fillId="27" borderId="0" xfId="25" applyNumberFormat="1" applyFont="1" applyFill="1"/>
    <xf numFmtId="0" fontId="4" fillId="0" borderId="0" xfId="20"/>
    <xf numFmtId="0" fontId="66" fillId="26" borderId="0" xfId="20" applyFont="1" applyFill="1" applyAlignment="1">
      <alignment horizontal="center"/>
    </xf>
    <xf numFmtId="0" fontId="4" fillId="27" borderId="0" xfId="20" applyFill="1" applyAlignment="1">
      <alignment horizontal="center" vertical="center" wrapText="1"/>
    </xf>
    <xf numFmtId="2" fontId="66" fillId="27" borderId="0" xfId="20" applyNumberFormat="1" applyFont="1" applyFill="1"/>
    <xf numFmtId="0" fontId="3" fillId="24" borderId="75" xfId="27" applyFont="1" applyFill="1" applyBorder="1" applyAlignment="1">
      <alignment horizontal="center" vertical="center"/>
    </xf>
    <xf numFmtId="0" fontId="70" fillId="24" borderId="37" xfId="27" applyFont="1" applyFill="1" applyBorder="1" applyAlignment="1">
      <alignment horizontal="center" vertical="center"/>
    </xf>
    <xf numFmtId="4" fontId="70" fillId="24" borderId="76" xfId="27" applyNumberFormat="1" applyFont="1" applyFill="1" applyBorder="1" applyAlignment="1">
      <alignment horizontal="center" vertical="center"/>
    </xf>
    <xf numFmtId="4" fontId="58" fillId="24" borderId="38" xfId="27" applyNumberFormat="1" applyFont="1" applyFill="1" applyBorder="1" applyAlignment="1">
      <alignment horizontal="center" vertical="center" wrapText="1"/>
    </xf>
    <xf numFmtId="4" fontId="7" fillId="22" borderId="80" xfId="27" applyNumberFormat="1" applyFont="1" applyFill="1" applyBorder="1" applyAlignment="1">
      <alignment horizontal="center" vertical="center"/>
    </xf>
    <xf numFmtId="172" fontId="83" fillId="22" borderId="40" xfId="27" applyNumberFormat="1" applyFont="1" applyFill="1" applyBorder="1" applyAlignment="1">
      <alignment horizontal="right" vertical="center"/>
    </xf>
    <xf numFmtId="4" fontId="7" fillId="9" borderId="18" xfId="27" applyNumberFormat="1" applyFont="1" applyFill="1" applyBorder="1" applyAlignment="1">
      <alignment horizontal="center" vertical="center"/>
    </xf>
    <xf numFmtId="172" fontId="79" fillId="27" borderId="40" xfId="25" applyNumberFormat="1" applyFont="1" applyFill="1" applyBorder="1"/>
    <xf numFmtId="172" fontId="79" fillId="27" borderId="40" xfId="20" applyNumberFormat="1" applyFont="1" applyFill="1" applyBorder="1"/>
    <xf numFmtId="0" fontId="2" fillId="13" borderId="0" xfId="25" applyFill="1"/>
    <xf numFmtId="4" fontId="7" fillId="23" borderId="12" xfId="27" applyNumberFormat="1" applyFont="1" applyFill="1" applyBorder="1" applyAlignment="1">
      <alignment horizontal="center" vertical="center"/>
    </xf>
    <xf numFmtId="172" fontId="4" fillId="23" borderId="40" xfId="28" applyNumberFormat="1" applyFont="1" applyFill="1" applyBorder="1" applyAlignment="1">
      <alignment vertical="center"/>
    </xf>
    <xf numFmtId="0" fontId="8" fillId="22" borderId="81" xfId="27" applyFont="1" applyFill="1" applyBorder="1" applyAlignment="1">
      <alignment horizontal="center" vertical="center"/>
    </xf>
    <xf numFmtId="0" fontId="8" fillId="22" borderId="11" xfId="27" applyFont="1" applyFill="1" applyBorder="1" applyAlignment="1">
      <alignment vertical="center"/>
    </xf>
    <xf numFmtId="4" fontId="7" fillId="22" borderId="19" xfId="27" applyNumberFormat="1" applyFont="1" applyFill="1" applyBorder="1" applyAlignment="1">
      <alignment horizontal="center" vertical="center"/>
    </xf>
    <xf numFmtId="172" fontId="83" fillId="22" borderId="62" xfId="27" applyNumberFormat="1" applyFont="1" applyFill="1" applyBorder="1" applyAlignment="1">
      <alignment horizontal="right" vertical="center"/>
    </xf>
    <xf numFmtId="4" fontId="4" fillId="23" borderId="18" xfId="27" applyNumberFormat="1" applyFill="1" applyBorder="1" applyAlignment="1">
      <alignment horizontal="center" vertical="center"/>
    </xf>
    <xf numFmtId="4" fontId="4" fillId="23" borderId="12" xfId="27" applyNumberFormat="1" applyFill="1" applyBorder="1" applyAlignment="1">
      <alignment horizontal="center" vertical="center"/>
    </xf>
    <xf numFmtId="4" fontId="85" fillId="28" borderId="16" xfId="27" applyNumberFormat="1" applyFont="1" applyFill="1" applyBorder="1" applyAlignment="1">
      <alignment horizontal="center" vertical="center"/>
    </xf>
    <xf numFmtId="172" fontId="75" fillId="28" borderId="60" xfId="27" applyNumberFormat="1" applyFont="1" applyFill="1" applyBorder="1" applyAlignment="1">
      <alignment horizontal="right" vertical="center"/>
    </xf>
    <xf numFmtId="172" fontId="8" fillId="22" borderId="40" xfId="27" applyNumberFormat="1" applyFont="1" applyFill="1" applyBorder="1" applyAlignment="1">
      <alignment horizontal="right" vertical="center"/>
    </xf>
    <xf numFmtId="4" fontId="8" fillId="22" borderId="19" xfId="27" applyNumberFormat="1" applyFont="1" applyFill="1" applyBorder="1" applyAlignment="1">
      <alignment horizontal="center" vertical="center"/>
    </xf>
    <xf numFmtId="172" fontId="8" fillId="22" borderId="62" xfId="28" applyNumberFormat="1" applyFont="1" applyFill="1" applyBorder="1" applyAlignment="1">
      <alignment vertical="center"/>
    </xf>
    <xf numFmtId="0" fontId="7" fillId="22" borderId="0" xfId="31" applyFont="1" applyFill="1" applyAlignment="1">
      <alignment horizontal="left" vertical="center" indent="3"/>
    </xf>
    <xf numFmtId="172" fontId="86" fillId="28" borderId="60" xfId="27" applyNumberFormat="1" applyFont="1" applyFill="1" applyBorder="1" applyAlignment="1">
      <alignment horizontal="right" vertical="center"/>
    </xf>
    <xf numFmtId="172" fontId="83" fillId="22" borderId="40" xfId="28" applyNumberFormat="1" applyFont="1" applyFill="1" applyBorder="1" applyAlignment="1">
      <alignment vertical="center"/>
    </xf>
    <xf numFmtId="0" fontId="7" fillId="22" borderId="82" xfId="27" applyFont="1" applyFill="1" applyBorder="1" applyAlignment="1">
      <alignment horizontal="center" vertical="center"/>
    </xf>
    <xf numFmtId="0" fontId="7" fillId="22" borderId="13" xfId="27" applyFont="1" applyFill="1" applyBorder="1" applyAlignment="1">
      <alignment horizontal="left" vertical="center" indent="3"/>
    </xf>
    <xf numFmtId="172" fontId="4" fillId="23" borderId="58" xfId="28" applyNumberFormat="1" applyFont="1" applyFill="1" applyBorder="1" applyAlignment="1">
      <alignment vertical="center"/>
    </xf>
    <xf numFmtId="4" fontId="85" fillId="28" borderId="69" xfId="27" applyNumberFormat="1" applyFont="1" applyFill="1" applyBorder="1" applyAlignment="1">
      <alignment horizontal="center" vertical="center"/>
    </xf>
    <xf numFmtId="172" fontId="86" fillId="28" borderId="71" xfId="27" applyNumberFormat="1" applyFont="1" applyFill="1" applyBorder="1" applyAlignment="1">
      <alignment horizontal="right" vertical="center"/>
    </xf>
    <xf numFmtId="172" fontId="2" fillId="0" borderId="40" xfId="25" applyNumberFormat="1" applyBorder="1"/>
    <xf numFmtId="0" fontId="4" fillId="0" borderId="39" xfId="20" applyBorder="1"/>
    <xf numFmtId="4" fontId="4" fillId="0" borderId="0" xfId="20" applyNumberFormat="1"/>
    <xf numFmtId="172" fontId="4" fillId="0" borderId="40" xfId="20" applyNumberFormat="1" applyBorder="1"/>
    <xf numFmtId="4" fontId="87" fillId="28" borderId="52" xfId="27" applyNumberFormat="1" applyFont="1" applyFill="1" applyBorder="1" applyAlignment="1">
      <alignment horizontal="center" vertical="center"/>
    </xf>
    <xf numFmtId="172" fontId="75" fillId="28" borderId="47" xfId="27" applyNumberFormat="1" applyFont="1" applyFill="1" applyBorder="1" applyAlignment="1">
      <alignment horizontal="right" vertical="center"/>
    </xf>
    <xf numFmtId="0" fontId="79" fillId="29" borderId="41" xfId="25" applyFont="1" applyFill="1" applyBorder="1"/>
    <xf numFmtId="0" fontId="79" fillId="29" borderId="42" xfId="25" applyFont="1" applyFill="1" applyBorder="1"/>
    <xf numFmtId="173" fontId="79" fillId="29" borderId="42" xfId="25" applyNumberFormat="1" applyFont="1" applyFill="1" applyBorder="1"/>
    <xf numFmtId="176" fontId="79" fillId="29" borderId="43" xfId="25" applyNumberFormat="1" applyFont="1" applyFill="1" applyBorder="1"/>
    <xf numFmtId="0" fontId="79" fillId="29" borderId="41" xfId="20" applyFont="1" applyFill="1" applyBorder="1"/>
    <xf numFmtId="0" fontId="79" fillId="29" borderId="42" xfId="20" applyFont="1" applyFill="1" applyBorder="1"/>
    <xf numFmtId="173" fontId="79" fillId="29" borderId="42" xfId="20" applyNumberFormat="1" applyFont="1" applyFill="1" applyBorder="1"/>
    <xf numFmtId="176" fontId="79" fillId="29" borderId="43" xfId="20" applyNumberFormat="1" applyFont="1" applyFill="1" applyBorder="1"/>
    <xf numFmtId="4" fontId="4" fillId="0" borderId="40" xfId="20" applyNumberFormat="1" applyBorder="1"/>
    <xf numFmtId="0" fontId="7" fillId="22" borderId="83" xfId="27" applyFont="1" applyFill="1" applyBorder="1" applyAlignment="1">
      <alignment vertical="center"/>
    </xf>
    <xf numFmtId="172" fontId="71" fillId="22" borderId="40" xfId="28" applyNumberFormat="1" applyFont="1" applyFill="1" applyBorder="1" applyAlignment="1">
      <alignment vertical="center"/>
    </xf>
    <xf numFmtId="0" fontId="7" fillId="22" borderId="0" xfId="20" applyFont="1" applyFill="1" applyAlignment="1">
      <alignment horizontal="left" vertical="center" indent="3"/>
    </xf>
    <xf numFmtId="172" fontId="72" fillId="23" borderId="40" xfId="28" applyNumberFormat="1" applyFont="1" applyFill="1" applyBorder="1" applyAlignment="1">
      <alignment vertical="center"/>
    </xf>
    <xf numFmtId="2" fontId="4" fillId="12" borderId="53" xfId="27" applyNumberFormat="1" applyFill="1" applyBorder="1" applyAlignment="1">
      <alignment horizontal="center" vertical="center"/>
    </xf>
    <xf numFmtId="172" fontId="71" fillId="12" borderId="40" xfId="28" applyNumberFormat="1" applyFont="1" applyFill="1" applyBorder="1" applyAlignment="1">
      <alignment vertical="center"/>
    </xf>
    <xf numFmtId="172" fontId="88" fillId="9" borderId="40" xfId="28" applyNumberFormat="1" applyFont="1" applyFill="1" applyBorder="1" applyAlignment="1">
      <alignment vertical="center"/>
    </xf>
    <xf numFmtId="2" fontId="4" fillId="23" borderId="84" xfId="27" applyNumberFormat="1" applyFill="1" applyBorder="1" applyAlignment="1">
      <alignment horizontal="center" vertical="center"/>
    </xf>
    <xf numFmtId="0" fontId="75" fillId="0" borderId="85" xfId="27" applyFont="1" applyBorder="1" applyAlignment="1">
      <alignment vertical="center"/>
    </xf>
    <xf numFmtId="172" fontId="75" fillId="0" borderId="43" xfId="27" applyNumberFormat="1" applyFont="1" applyBorder="1" applyAlignment="1">
      <alignment vertical="center"/>
    </xf>
    <xf numFmtId="173" fontId="76" fillId="30" borderId="69" xfId="27" applyNumberFormat="1" applyFont="1" applyFill="1" applyBorder="1" applyAlignment="1">
      <alignment horizontal="right" vertical="center"/>
    </xf>
    <xf numFmtId="176" fontId="76" fillId="30" borderId="71" xfId="27" applyNumberFormat="1" applyFont="1" applyFill="1" applyBorder="1" applyAlignment="1">
      <alignment horizontal="right" vertical="center"/>
    </xf>
    <xf numFmtId="0" fontId="77" fillId="24" borderId="39" xfId="20" applyFont="1" applyFill="1" applyBorder="1"/>
    <xf numFmtId="0" fontId="77" fillId="24" borderId="0" xfId="20" applyFont="1" applyFill="1" applyAlignment="1">
      <alignment horizontal="center" vertical="center"/>
    </xf>
    <xf numFmtId="172" fontId="78" fillId="24" borderId="40" xfId="20" applyNumberFormat="1" applyFont="1" applyFill="1" applyBorder="1"/>
    <xf numFmtId="173" fontId="77" fillId="24" borderId="0" xfId="25" applyNumberFormat="1" applyFont="1" applyFill="1" applyAlignment="1">
      <alignment horizontal="center" vertical="center"/>
    </xf>
    <xf numFmtId="176" fontId="78" fillId="24" borderId="40" xfId="25" applyNumberFormat="1" applyFont="1" applyFill="1" applyBorder="1"/>
    <xf numFmtId="173" fontId="77" fillId="24" borderId="0" xfId="20" applyNumberFormat="1" applyFont="1" applyFill="1" applyAlignment="1">
      <alignment horizontal="center" vertical="center"/>
    </xf>
    <xf numFmtId="176" fontId="78" fillId="24" borderId="40" xfId="20" applyNumberFormat="1" applyFont="1" applyFill="1" applyBorder="1"/>
    <xf numFmtId="0" fontId="4" fillId="12" borderId="39" xfId="20" applyFill="1" applyBorder="1"/>
    <xf numFmtId="0" fontId="4" fillId="12" borderId="0" xfId="20" applyFill="1" applyAlignment="1">
      <alignment horizontal="center" vertical="center"/>
    </xf>
    <xf numFmtId="4" fontId="72" fillId="12" borderId="40" xfId="20" applyNumberFormat="1" applyFont="1" applyFill="1" applyBorder="1"/>
    <xf numFmtId="0" fontId="69" fillId="31" borderId="72" xfId="25" applyFont="1" applyFill="1" applyBorder="1"/>
    <xf numFmtId="0" fontId="69" fillId="31" borderId="17" xfId="25" applyFont="1" applyFill="1" applyBorder="1" applyAlignment="1">
      <alignment horizontal="center" vertical="center"/>
    </xf>
    <xf numFmtId="173" fontId="74" fillId="31" borderId="73" xfId="30" applyNumberFormat="1" applyFont="1" applyFill="1" applyBorder="1"/>
    <xf numFmtId="0" fontId="69" fillId="31" borderId="72" xfId="20" applyFont="1" applyFill="1" applyBorder="1"/>
    <xf numFmtId="0" fontId="69" fillId="31" borderId="17" xfId="20" applyFont="1" applyFill="1" applyBorder="1" applyAlignment="1">
      <alignment horizontal="center" vertical="center"/>
    </xf>
    <xf numFmtId="0" fontId="69" fillId="30" borderId="74" xfId="25" applyFont="1" applyFill="1" applyBorder="1"/>
    <xf numFmtId="0" fontId="79" fillId="30" borderId="42" xfId="25" applyFont="1" applyFill="1" applyBorder="1" applyAlignment="1">
      <alignment horizontal="center" vertical="center"/>
    </xf>
    <xf numFmtId="173" fontId="79" fillId="30" borderId="42" xfId="25" applyNumberFormat="1" applyFont="1" applyFill="1" applyBorder="1" applyAlignment="1">
      <alignment horizontal="center" vertical="center"/>
    </xf>
    <xf numFmtId="176" fontId="88" fillId="30" borderId="43" xfId="25" applyNumberFormat="1" applyFont="1" applyFill="1" applyBorder="1"/>
    <xf numFmtId="0" fontId="69" fillId="30" borderId="74" xfId="20" applyFont="1" applyFill="1" applyBorder="1"/>
    <xf numFmtId="0" fontId="79" fillId="30" borderId="42" xfId="20" applyFont="1" applyFill="1" applyBorder="1" applyAlignment="1">
      <alignment horizontal="center" vertical="center"/>
    </xf>
    <xf numFmtId="173" fontId="79" fillId="30" borderId="42" xfId="20" applyNumberFormat="1" applyFont="1" applyFill="1" applyBorder="1" applyAlignment="1">
      <alignment horizontal="center" vertical="center"/>
    </xf>
    <xf numFmtId="176" fontId="88" fillId="30" borderId="43" xfId="20" applyNumberFormat="1" applyFont="1" applyFill="1" applyBorder="1"/>
    <xf numFmtId="0" fontId="66" fillId="26" borderId="0" xfId="25" applyFont="1" applyFill="1"/>
    <xf numFmtId="0" fontId="66" fillId="0" borderId="0" xfId="25" applyFont="1" applyAlignment="1">
      <alignment horizontal="center"/>
    </xf>
    <xf numFmtId="0" fontId="2" fillId="0" borderId="0" xfId="25" applyAlignment="1">
      <alignment horizontal="center" vertical="center" wrapText="1"/>
    </xf>
    <xf numFmtId="2" fontId="66" fillId="0" borderId="0" xfId="25" applyNumberFormat="1" applyFont="1"/>
    <xf numFmtId="0" fontId="3" fillId="0" borderId="0" xfId="27" applyFont="1" applyAlignment="1">
      <alignment horizontal="center" vertical="center"/>
    </xf>
    <xf numFmtId="0" fontId="70" fillId="0" borderId="0" xfId="27" applyFont="1" applyAlignment="1">
      <alignment horizontal="center" vertical="center"/>
    </xf>
    <xf numFmtId="4" fontId="70" fillId="0" borderId="0" xfId="27" applyNumberFormat="1" applyFont="1" applyAlignment="1">
      <alignment horizontal="center" vertical="center"/>
    </xf>
    <xf numFmtId="4" fontId="58" fillId="0" borderId="0" xfId="27" applyNumberFormat="1" applyFont="1" applyAlignment="1">
      <alignment horizontal="center" vertical="center" wrapText="1"/>
    </xf>
    <xf numFmtId="0" fontId="8" fillId="0" borderId="0" xfId="27" applyFont="1" applyAlignment="1">
      <alignment horizontal="center" vertical="center"/>
    </xf>
    <xf numFmtId="0" fontId="8" fillId="0" borderId="0" xfId="27" applyFont="1" applyAlignment="1">
      <alignment vertical="center"/>
    </xf>
    <xf numFmtId="4" fontId="7" fillId="0" borderId="0" xfId="27" applyNumberFormat="1" applyFont="1" applyAlignment="1">
      <alignment horizontal="center" vertical="center"/>
    </xf>
    <xf numFmtId="172" fontId="83" fillId="0" borderId="0" xfId="27" applyNumberFormat="1" applyFont="1" applyAlignment="1">
      <alignment horizontal="right" vertical="center"/>
    </xf>
    <xf numFmtId="0" fontId="7" fillId="0" borderId="0" xfId="27" applyFont="1" applyAlignment="1">
      <alignment horizontal="center" vertical="center"/>
    </xf>
    <xf numFmtId="0" fontId="7" fillId="0" borderId="0" xfId="27" applyFont="1" applyAlignment="1">
      <alignment horizontal="left" vertical="center" indent="3"/>
    </xf>
    <xf numFmtId="172" fontId="79" fillId="0" borderId="0" xfId="25" applyNumberFormat="1" applyFont="1"/>
    <xf numFmtId="172" fontId="4" fillId="0" borderId="0" xfId="28" applyNumberFormat="1" applyFont="1" applyFill="1" applyBorder="1" applyAlignment="1">
      <alignment vertical="center"/>
    </xf>
    <xf numFmtId="4" fontId="4" fillId="0" borderId="0" xfId="27" applyNumberFormat="1" applyAlignment="1">
      <alignment horizontal="center" vertical="center"/>
    </xf>
    <xf numFmtId="4" fontId="85" fillId="0" borderId="0" xfId="27" applyNumberFormat="1" applyFont="1" applyAlignment="1">
      <alignment horizontal="center" vertical="center"/>
    </xf>
    <xf numFmtId="172" fontId="75" fillId="0" borderId="0" xfId="27" applyNumberFormat="1" applyFont="1" applyAlignment="1">
      <alignment horizontal="right" vertical="center"/>
    </xf>
    <xf numFmtId="172" fontId="8" fillId="0" borderId="0" xfId="27" applyNumberFormat="1" applyFont="1" applyAlignment="1">
      <alignment horizontal="right" vertical="center"/>
    </xf>
    <xf numFmtId="4" fontId="8" fillId="0" borderId="0" xfId="27" applyNumberFormat="1" applyFont="1" applyAlignment="1">
      <alignment horizontal="center" vertical="center"/>
    </xf>
    <xf numFmtId="172" fontId="8" fillId="0" borderId="0" xfId="28" applyNumberFormat="1" applyFont="1" applyFill="1" applyBorder="1" applyAlignment="1">
      <alignment vertical="center"/>
    </xf>
    <xf numFmtId="0" fontId="7" fillId="0" borderId="0" xfId="31" applyFont="1" applyAlignment="1">
      <alignment horizontal="left" vertical="center" indent="3"/>
    </xf>
    <xf numFmtId="172" fontId="86" fillId="0" borderId="0" xfId="27" applyNumberFormat="1" applyFont="1" applyAlignment="1">
      <alignment horizontal="right" vertical="center"/>
    </xf>
    <xf numFmtId="172" fontId="83" fillId="0" borderId="0" xfId="28" applyNumberFormat="1" applyFont="1" applyFill="1" applyBorder="1" applyAlignment="1">
      <alignment vertical="center"/>
    </xf>
    <xf numFmtId="4" fontId="87" fillId="0" borderId="0" xfId="27" applyNumberFormat="1" applyFont="1" applyAlignment="1">
      <alignment horizontal="center" vertical="center"/>
    </xf>
    <xf numFmtId="0" fontId="79" fillId="0" borderId="0" xfId="25" applyFont="1"/>
    <xf numFmtId="173" fontId="79" fillId="0" borderId="0" xfId="25" applyNumberFormat="1" applyFont="1"/>
    <xf numFmtId="176" fontId="79" fillId="0" borderId="0" xfId="25" applyNumberFormat="1" applyFont="1"/>
    <xf numFmtId="0" fontId="7" fillId="0" borderId="0" xfId="27" applyFont="1" applyAlignment="1">
      <alignment vertical="center"/>
    </xf>
    <xf numFmtId="172" fontId="71" fillId="0" borderId="0" xfId="28" applyNumberFormat="1" applyFont="1" applyFill="1" applyBorder="1" applyAlignment="1">
      <alignment vertical="center"/>
    </xf>
    <xf numFmtId="0" fontId="7" fillId="0" borderId="0" xfId="25" applyFont="1" applyAlignment="1">
      <alignment horizontal="left" vertical="center" indent="3"/>
    </xf>
    <xf numFmtId="2" fontId="4" fillId="0" borderId="0" xfId="27" applyNumberFormat="1" applyAlignment="1">
      <alignment vertical="center"/>
    </xf>
    <xf numFmtId="4" fontId="72" fillId="0" borderId="0" xfId="28" applyNumberFormat="1" applyFont="1" applyFill="1" applyBorder="1" applyAlignment="1">
      <alignment vertical="center"/>
    </xf>
    <xf numFmtId="4" fontId="72" fillId="0" borderId="0" xfId="27" applyNumberFormat="1" applyFont="1" applyAlignment="1">
      <alignment horizontal="right" vertical="center"/>
    </xf>
    <xf numFmtId="172" fontId="72" fillId="0" borderId="0" xfId="28" applyNumberFormat="1" applyFont="1" applyFill="1" applyBorder="1" applyAlignment="1">
      <alignment vertical="center"/>
    </xf>
    <xf numFmtId="4" fontId="71" fillId="0" borderId="0" xfId="27" applyNumberFormat="1" applyFont="1" applyAlignment="1">
      <alignment horizontal="right" vertical="center"/>
    </xf>
    <xf numFmtId="2" fontId="4" fillId="0" borderId="0" xfId="27" applyNumberFormat="1" applyAlignment="1">
      <alignment horizontal="center" vertical="center"/>
    </xf>
    <xf numFmtId="2" fontId="72" fillId="0" borderId="0" xfId="28" applyNumberFormat="1" applyFont="1" applyFill="1" applyBorder="1" applyAlignment="1">
      <alignment vertical="center"/>
    </xf>
    <xf numFmtId="172" fontId="88" fillId="0" borderId="0" xfId="28" applyNumberFormat="1" applyFont="1" applyFill="1" applyBorder="1" applyAlignment="1">
      <alignment vertical="center"/>
    </xf>
    <xf numFmtId="0" fontId="75" fillId="0" borderId="0" xfId="27" applyFont="1" applyAlignment="1">
      <alignment vertical="center"/>
    </xf>
    <xf numFmtId="172" fontId="75" fillId="0" borderId="0" xfId="27" applyNumberFormat="1" applyFont="1" applyAlignment="1">
      <alignment vertical="center"/>
    </xf>
    <xf numFmtId="173" fontId="76" fillId="0" borderId="0" xfId="27" applyNumberFormat="1" applyFont="1" applyAlignment="1">
      <alignment horizontal="right" vertical="center"/>
    </xf>
    <xf numFmtId="176" fontId="76" fillId="0" borderId="0" xfId="27" applyNumberFormat="1" applyFont="1" applyAlignment="1">
      <alignment horizontal="right" vertical="center"/>
    </xf>
    <xf numFmtId="0" fontId="77" fillId="0" borderId="0" xfId="25" applyFont="1"/>
    <xf numFmtId="0" fontId="77" fillId="0" borderId="0" xfId="25" applyFont="1" applyAlignment="1">
      <alignment horizontal="center" vertical="center"/>
    </xf>
    <xf numFmtId="172" fontId="78" fillId="0" borderId="0" xfId="25" applyNumberFormat="1" applyFont="1"/>
    <xf numFmtId="173" fontId="77" fillId="0" borderId="0" xfId="25" applyNumberFormat="1" applyFont="1" applyAlignment="1">
      <alignment horizontal="center" vertical="center"/>
    </xf>
    <xf numFmtId="176" fontId="78" fillId="0" borderId="0" xfId="25" applyNumberFormat="1" applyFont="1"/>
    <xf numFmtId="0" fontId="2" fillId="0" borderId="0" xfId="25" applyAlignment="1">
      <alignment horizontal="center" vertical="center"/>
    </xf>
    <xf numFmtId="4" fontId="72" fillId="0" borderId="0" xfId="25" applyNumberFormat="1" applyFont="1"/>
    <xf numFmtId="0" fontId="69" fillId="0" borderId="0" xfId="25" applyFont="1"/>
    <xf numFmtId="0" fontId="69" fillId="0" borderId="0" xfId="25" applyFont="1" applyAlignment="1">
      <alignment horizontal="center" vertical="center"/>
    </xf>
    <xf numFmtId="173" fontId="74" fillId="0" borderId="0" xfId="30" applyNumberFormat="1" applyFont="1" applyFill="1" applyBorder="1"/>
    <xf numFmtId="0" fontId="79" fillId="0" borderId="0" xfId="25" applyFont="1" applyAlignment="1">
      <alignment horizontal="center" vertical="center"/>
    </xf>
    <xf numFmtId="173" fontId="79" fillId="0" borderId="0" xfId="25" applyNumberFormat="1" applyFont="1" applyAlignment="1">
      <alignment horizontal="center" vertical="center"/>
    </xf>
    <xf numFmtId="176" fontId="88" fillId="0" borderId="0" xfId="25" applyNumberFormat="1" applyFont="1"/>
    <xf numFmtId="0" fontId="2" fillId="0" borderId="0" xfId="32"/>
    <xf numFmtId="4" fontId="2" fillId="0" borderId="0" xfId="32" applyNumberFormat="1"/>
    <xf numFmtId="0" fontId="89" fillId="0" borderId="0" xfId="33" applyAlignment="1"/>
    <xf numFmtId="0" fontId="2" fillId="0" borderId="39" xfId="34" applyFont="1" applyBorder="1"/>
    <xf numFmtId="0" fontId="2" fillId="0" borderId="0" xfId="34" applyFont="1"/>
    <xf numFmtId="4" fontId="2" fillId="0" borderId="0" xfId="34" applyNumberFormat="1" applyFont="1"/>
    <xf numFmtId="4" fontId="2" fillId="0" borderId="36" xfId="34" applyNumberFormat="1" applyFont="1" applyBorder="1"/>
    <xf numFmtId="4" fontId="2" fillId="0" borderId="37" xfId="34" applyNumberFormat="1" applyFont="1" applyBorder="1"/>
    <xf numFmtId="0" fontId="2" fillId="0" borderId="38" xfId="34" applyFont="1" applyBorder="1"/>
    <xf numFmtId="4" fontId="2" fillId="0" borderId="39" xfId="34" applyNumberFormat="1" applyFont="1" applyBorder="1"/>
    <xf numFmtId="0" fontId="2" fillId="0" borderId="40" xfId="34" applyFont="1" applyBorder="1"/>
    <xf numFmtId="0" fontId="66" fillId="0" borderId="39" xfId="32" applyFont="1" applyBorder="1" applyAlignment="1">
      <alignment vertical="center"/>
    </xf>
    <xf numFmtId="0" fontId="91" fillId="0" borderId="0" xfId="35" applyFont="1" applyAlignment="1">
      <alignment vertical="center" wrapText="1"/>
    </xf>
    <xf numFmtId="0" fontId="91" fillId="0" borderId="39" xfId="35" applyFont="1" applyBorder="1" applyAlignment="1">
      <alignment vertical="center" wrapText="1"/>
    </xf>
    <xf numFmtId="0" fontId="2" fillId="0" borderId="40" xfId="32" applyBorder="1"/>
    <xf numFmtId="0" fontId="2" fillId="0" borderId="39" xfId="32" applyBorder="1"/>
    <xf numFmtId="4" fontId="2" fillId="0" borderId="39" xfId="32" applyNumberFormat="1" applyBorder="1"/>
    <xf numFmtId="0" fontId="66" fillId="0" borderId="39" xfId="32" applyFont="1" applyBorder="1"/>
    <xf numFmtId="14" fontId="2" fillId="0" borderId="0" xfId="32" applyNumberFormat="1" applyAlignment="1">
      <alignment horizontal="left"/>
    </xf>
    <xf numFmtId="4" fontId="2" fillId="0" borderId="41" xfId="34" applyNumberFormat="1" applyFont="1" applyBorder="1"/>
    <xf numFmtId="4" fontId="2" fillId="0" borderId="42" xfId="34" applyNumberFormat="1" applyFont="1" applyBorder="1"/>
    <xf numFmtId="0" fontId="2" fillId="0" borderId="43" xfId="34" applyFont="1" applyBorder="1"/>
    <xf numFmtId="0" fontId="3" fillId="0" borderId="39" xfId="34" applyFont="1" applyBorder="1"/>
    <xf numFmtId="0" fontId="3" fillId="0" borderId="0" xfId="34" applyFont="1"/>
    <xf numFmtId="4" fontId="3" fillId="0" borderId="0" xfId="34" applyNumberFormat="1" applyFont="1"/>
    <xf numFmtId="4" fontId="3" fillId="33" borderId="51" xfId="34" applyNumberFormat="1" applyFont="1" applyFill="1" applyBorder="1"/>
    <xf numFmtId="4" fontId="8" fillId="33" borderId="52" xfId="34" applyNumberFormat="1" applyFont="1" applyFill="1" applyBorder="1"/>
    <xf numFmtId="4" fontId="8" fillId="33" borderId="47" xfId="34" applyNumberFormat="1" applyFont="1" applyFill="1" applyBorder="1" applyAlignment="1">
      <alignment horizontal="right"/>
    </xf>
    <xf numFmtId="4" fontId="8" fillId="33" borderId="47" xfId="34" applyNumberFormat="1" applyFont="1" applyFill="1" applyBorder="1"/>
    <xf numFmtId="4" fontId="2" fillId="0" borderId="40" xfId="34" applyNumberFormat="1" applyFont="1" applyBorder="1"/>
    <xf numFmtId="0" fontId="93" fillId="0" borderId="39" xfId="34" applyFont="1" applyBorder="1"/>
    <xf numFmtId="0" fontId="94" fillId="0" borderId="40" xfId="34" applyFont="1" applyBorder="1"/>
    <xf numFmtId="0" fontId="94" fillId="0" borderId="0" xfId="34" applyFont="1"/>
    <xf numFmtId="4" fontId="94" fillId="0" borderId="39" xfId="34" applyNumberFormat="1" applyFont="1" applyBorder="1"/>
    <xf numFmtId="4" fontId="94" fillId="0" borderId="40" xfId="34" applyNumberFormat="1" applyFont="1" applyBorder="1"/>
    <xf numFmtId="4" fontId="94" fillId="0" borderId="0" xfId="34" applyNumberFormat="1" applyFont="1"/>
    <xf numFmtId="0" fontId="95" fillId="0" borderId="0" xfId="33" applyFont="1" applyAlignment="1"/>
    <xf numFmtId="0" fontId="32" fillId="0" borderId="40" xfId="34" applyFont="1" applyBorder="1"/>
    <xf numFmtId="0" fontId="94" fillId="0" borderId="0" xfId="34" applyFont="1" applyAlignment="1">
      <alignment horizontal="center"/>
    </xf>
    <xf numFmtId="2" fontId="94" fillId="0" borderId="0" xfId="34" applyNumberFormat="1" applyFont="1" applyAlignment="1">
      <alignment horizontal="center"/>
    </xf>
    <xf numFmtId="4" fontId="94" fillId="0" borderId="39" xfId="34" applyNumberFormat="1" applyFont="1" applyBorder="1" applyAlignment="1">
      <alignment horizontal="center"/>
    </xf>
    <xf numFmtId="4" fontId="94" fillId="0" borderId="40" xfId="34" applyNumberFormat="1" applyFont="1" applyBorder="1" applyAlignment="1">
      <alignment horizontal="center"/>
    </xf>
    <xf numFmtId="10" fontId="94" fillId="0" borderId="0" xfId="34" applyNumberFormat="1" applyFont="1"/>
    <xf numFmtId="0" fontId="94" fillId="0" borderId="39" xfId="34" applyFont="1" applyBorder="1"/>
    <xf numFmtId="4" fontId="93" fillId="0" borderId="39" xfId="34" applyNumberFormat="1" applyFont="1" applyBorder="1" applyAlignment="1">
      <alignment horizontal="center"/>
    </xf>
    <xf numFmtId="4" fontId="93" fillId="0" borderId="40" xfId="34" applyNumberFormat="1" applyFont="1" applyBorder="1" applyAlignment="1">
      <alignment horizontal="center"/>
    </xf>
    <xf numFmtId="4" fontId="93" fillId="0" borderId="0" xfId="34" applyNumberFormat="1" applyFont="1" applyAlignment="1">
      <alignment horizontal="center"/>
    </xf>
    <xf numFmtId="4" fontId="93" fillId="0" borderId="0" xfId="34" applyNumberFormat="1" applyFont="1"/>
    <xf numFmtId="4" fontId="93" fillId="0" borderId="86" xfId="34" applyNumberFormat="1" applyFont="1" applyBorder="1"/>
    <xf numFmtId="0" fontId="96" fillId="0" borderId="36" xfId="34" applyFont="1" applyBorder="1"/>
    <xf numFmtId="0" fontId="94" fillId="0" borderId="38" xfId="34" applyFont="1" applyBorder="1"/>
    <xf numFmtId="0" fontId="94" fillId="0" borderId="37" xfId="34" applyFont="1" applyBorder="1" applyAlignment="1">
      <alignment horizontal="center"/>
    </xf>
    <xf numFmtId="2" fontId="94" fillId="0" borderId="37" xfId="34" applyNumberFormat="1" applyFont="1" applyBorder="1" applyAlignment="1">
      <alignment horizontal="center"/>
    </xf>
    <xf numFmtId="4" fontId="93" fillId="0" borderId="36" xfId="34" applyNumberFormat="1" applyFont="1" applyBorder="1" applyAlignment="1">
      <alignment horizontal="center"/>
    </xf>
    <xf numFmtId="4" fontId="93" fillId="0" borderId="38" xfId="34" applyNumberFormat="1" applyFont="1" applyBorder="1" applyAlignment="1">
      <alignment horizontal="center"/>
    </xf>
    <xf numFmtId="4" fontId="93" fillId="0" borderId="37" xfId="34" applyNumberFormat="1" applyFont="1" applyBorder="1" applyAlignment="1">
      <alignment horizontal="center"/>
    </xf>
    <xf numFmtId="4" fontId="94" fillId="0" borderId="37" xfId="34" applyNumberFormat="1" applyFont="1" applyBorder="1"/>
    <xf numFmtId="0" fontId="95" fillId="0" borderId="40" xfId="34" applyFont="1" applyBorder="1"/>
    <xf numFmtId="0" fontId="94" fillId="0" borderId="41" xfId="34" applyFont="1" applyBorder="1"/>
    <xf numFmtId="0" fontId="94" fillId="0" borderId="43" xfId="34" applyFont="1" applyBorder="1"/>
    <xf numFmtId="4" fontId="94" fillId="0" borderId="42" xfId="34" applyNumberFormat="1" applyFont="1" applyBorder="1" applyAlignment="1">
      <alignment horizontal="center"/>
    </xf>
    <xf numFmtId="2" fontId="94" fillId="0" borderId="42" xfId="34" applyNumberFormat="1" applyFont="1" applyBorder="1" applyAlignment="1">
      <alignment horizontal="center"/>
    </xf>
    <xf numFmtId="4" fontId="94" fillId="0" borderId="41" xfId="34" applyNumberFormat="1" applyFont="1" applyBorder="1" applyAlignment="1">
      <alignment horizontal="center"/>
    </xf>
    <xf numFmtId="4" fontId="93" fillId="0" borderId="43" xfId="34" applyNumberFormat="1" applyFont="1" applyBorder="1" applyAlignment="1">
      <alignment horizontal="center"/>
    </xf>
    <xf numFmtId="4" fontId="94" fillId="0" borderId="42" xfId="34" applyNumberFormat="1" applyFont="1" applyBorder="1"/>
    <xf numFmtId="4" fontId="93" fillId="0" borderId="42" xfId="34" applyNumberFormat="1" applyFont="1" applyBorder="1"/>
    <xf numFmtId="4" fontId="93" fillId="0" borderId="87" xfId="34" applyNumberFormat="1" applyFont="1" applyBorder="1"/>
    <xf numFmtId="4" fontId="95" fillId="0" borderId="0" xfId="33" applyNumberFormat="1" applyFont="1" applyAlignment="1"/>
    <xf numFmtId="10" fontId="94" fillId="23" borderId="0" xfId="34" applyNumberFormat="1" applyFont="1" applyFill="1"/>
    <xf numFmtId="2" fontId="95" fillId="0" borderId="0" xfId="34" applyNumberFormat="1" applyFont="1" applyAlignment="1">
      <alignment horizontal="center"/>
    </xf>
    <xf numFmtId="49" fontId="97" fillId="0" borderId="39" xfId="34" applyNumberFormat="1" applyFont="1" applyBorder="1"/>
    <xf numFmtId="0" fontId="32" fillId="0" borderId="0" xfId="34" applyFont="1"/>
    <xf numFmtId="0" fontId="32" fillId="0" borderId="39" xfId="34" applyFont="1" applyBorder="1" applyAlignment="1">
      <alignment horizontal="center"/>
    </xf>
    <xf numFmtId="2" fontId="32" fillId="0" borderId="40" xfId="34" applyNumberFormat="1" applyFont="1" applyBorder="1" applyAlignment="1">
      <alignment horizontal="center"/>
    </xf>
    <xf numFmtId="0" fontId="32" fillId="0" borderId="0" xfId="34" applyFont="1" applyAlignment="1">
      <alignment horizontal="center"/>
    </xf>
    <xf numFmtId="10" fontId="32" fillId="0" borderId="0" xfId="34" applyNumberFormat="1" applyFont="1"/>
    <xf numFmtId="4" fontId="32" fillId="0" borderId="0" xfId="34" applyNumberFormat="1" applyFont="1"/>
    <xf numFmtId="4" fontId="32" fillId="0" borderId="40" xfId="34" applyNumberFormat="1" applyFont="1" applyBorder="1"/>
    <xf numFmtId="177" fontId="89" fillId="0" borderId="0" xfId="33" applyNumberFormat="1" applyAlignment="1"/>
    <xf numFmtId="178" fontId="89" fillId="0" borderId="0" xfId="33" applyNumberFormat="1" applyAlignment="1"/>
    <xf numFmtId="0" fontId="95" fillId="0" borderId="0" xfId="34" applyFont="1" applyAlignment="1">
      <alignment horizontal="center"/>
    </xf>
    <xf numFmtId="0" fontId="94" fillId="23" borderId="39" xfId="34" applyFont="1" applyFill="1" applyBorder="1"/>
    <xf numFmtId="0" fontId="94" fillId="23" borderId="40" xfId="34" applyFont="1" applyFill="1" applyBorder="1"/>
    <xf numFmtId="0" fontId="94" fillId="23" borderId="0" xfId="34" applyFont="1" applyFill="1" applyAlignment="1">
      <alignment horizontal="center"/>
    </xf>
    <xf numFmtId="2" fontId="94" fillId="23" borderId="0" xfId="34" applyNumberFormat="1" applyFont="1" applyFill="1" applyAlignment="1">
      <alignment horizontal="center"/>
    </xf>
    <xf numFmtId="4" fontId="94" fillId="23" borderId="39" xfId="34" applyNumberFormat="1" applyFont="1" applyFill="1" applyBorder="1" applyAlignment="1">
      <alignment horizontal="center"/>
    </xf>
    <xf numFmtId="4" fontId="93" fillId="23" borderId="40" xfId="34" applyNumberFormat="1" applyFont="1" applyFill="1" applyBorder="1" applyAlignment="1">
      <alignment horizontal="center"/>
    </xf>
    <xf numFmtId="4" fontId="94" fillId="23" borderId="0" xfId="34" applyNumberFormat="1" applyFont="1" applyFill="1"/>
    <xf numFmtId="4" fontId="93" fillId="23" borderId="0" xfId="34" applyNumberFormat="1" applyFont="1" applyFill="1"/>
    <xf numFmtId="4" fontId="93" fillId="23" borderId="86" xfId="34" applyNumberFormat="1" applyFont="1" applyFill="1" applyBorder="1"/>
    <xf numFmtId="0" fontId="93" fillId="23" borderId="36" xfId="34" applyFont="1" applyFill="1" applyBorder="1"/>
    <xf numFmtId="0" fontId="94" fillId="23" borderId="38" xfId="34" applyFont="1" applyFill="1" applyBorder="1"/>
    <xf numFmtId="0" fontId="94" fillId="23" borderId="37" xfId="34" applyFont="1" applyFill="1" applyBorder="1" applyAlignment="1">
      <alignment horizontal="center"/>
    </xf>
    <xf numFmtId="2" fontId="94" fillId="23" borderId="37" xfId="34" applyNumberFormat="1" applyFont="1" applyFill="1" applyBorder="1" applyAlignment="1">
      <alignment horizontal="center"/>
    </xf>
    <xf numFmtId="4" fontId="94" fillId="23" borderId="36" xfId="34" applyNumberFormat="1" applyFont="1" applyFill="1" applyBorder="1" applyAlignment="1">
      <alignment horizontal="center"/>
    </xf>
    <xf numFmtId="4" fontId="94" fillId="23" borderId="38" xfId="34" applyNumberFormat="1" applyFont="1" applyFill="1" applyBorder="1" applyAlignment="1">
      <alignment horizontal="center"/>
    </xf>
    <xf numFmtId="4" fontId="94" fillId="23" borderId="37" xfId="34" applyNumberFormat="1" applyFont="1" applyFill="1" applyBorder="1"/>
    <xf numFmtId="0" fontId="32" fillId="23" borderId="39" xfId="34" applyFont="1" applyFill="1" applyBorder="1"/>
    <xf numFmtId="0" fontId="94" fillId="23" borderId="41" xfId="34" applyFont="1" applyFill="1" applyBorder="1"/>
    <xf numFmtId="0" fontId="94" fillId="23" borderId="43" xfId="34" applyFont="1" applyFill="1" applyBorder="1"/>
    <xf numFmtId="0" fontId="94" fillId="23" borderId="42" xfId="34" applyFont="1" applyFill="1" applyBorder="1" applyAlignment="1">
      <alignment horizontal="center"/>
    </xf>
    <xf numFmtId="2" fontId="94" fillId="23" borderId="42" xfId="34" applyNumberFormat="1" applyFont="1" applyFill="1" applyBorder="1" applyAlignment="1">
      <alignment horizontal="center"/>
    </xf>
    <xf numFmtId="4" fontId="93" fillId="23" borderId="41" xfId="34" applyNumberFormat="1" applyFont="1" applyFill="1" applyBorder="1" applyAlignment="1">
      <alignment horizontal="center"/>
    </xf>
    <xf numFmtId="4" fontId="94" fillId="0" borderId="43" xfId="34" applyNumberFormat="1" applyFont="1" applyBorder="1" applyAlignment="1">
      <alignment horizontal="center"/>
    </xf>
    <xf numFmtId="4" fontId="93" fillId="23" borderId="42" xfId="34" applyNumberFormat="1" applyFont="1" applyFill="1" applyBorder="1" applyAlignment="1">
      <alignment horizontal="center"/>
    </xf>
    <xf numFmtId="4" fontId="94" fillId="23" borderId="42" xfId="34" applyNumberFormat="1" applyFont="1" applyFill="1" applyBorder="1"/>
    <xf numFmtId="4" fontId="93" fillId="23" borderId="42" xfId="34" applyNumberFormat="1" applyFont="1" applyFill="1" applyBorder="1"/>
    <xf numFmtId="4" fontId="93" fillId="23" borderId="87" xfId="34" applyNumberFormat="1" applyFont="1" applyFill="1" applyBorder="1"/>
    <xf numFmtId="49" fontId="93" fillId="23" borderId="39" xfId="34" applyNumberFormat="1" applyFont="1" applyFill="1" applyBorder="1"/>
    <xf numFmtId="4" fontId="93" fillId="23" borderId="39" xfId="34" applyNumberFormat="1" applyFont="1" applyFill="1" applyBorder="1" applyAlignment="1">
      <alignment horizontal="center"/>
    </xf>
    <xf numFmtId="4" fontId="93" fillId="23" borderId="0" xfId="34" applyNumberFormat="1" applyFont="1" applyFill="1" applyAlignment="1">
      <alignment horizontal="center"/>
    </xf>
    <xf numFmtId="4" fontId="93" fillId="23" borderId="40" xfId="34" applyNumberFormat="1" applyFont="1" applyFill="1" applyBorder="1"/>
    <xf numFmtId="0" fontId="94" fillId="23" borderId="42" xfId="34" applyFont="1" applyFill="1" applyBorder="1"/>
    <xf numFmtId="4" fontId="93" fillId="23" borderId="43" xfId="34" applyNumberFormat="1" applyFont="1" applyFill="1" applyBorder="1" applyAlignment="1">
      <alignment horizontal="center"/>
    </xf>
    <xf numFmtId="0" fontId="32" fillId="23" borderId="0" xfId="34" applyFont="1" applyFill="1"/>
    <xf numFmtId="0" fontId="32" fillId="23" borderId="39" xfId="34" applyFont="1" applyFill="1" applyBorder="1" applyAlignment="1">
      <alignment horizontal="center"/>
    </xf>
    <xf numFmtId="2" fontId="32" fillId="23" borderId="40" xfId="34" applyNumberFormat="1" applyFont="1" applyFill="1" applyBorder="1" applyAlignment="1">
      <alignment horizontal="center"/>
    </xf>
    <xf numFmtId="0" fontId="32" fillId="23" borderId="0" xfId="34" applyFont="1" applyFill="1" applyAlignment="1">
      <alignment horizontal="center"/>
    </xf>
    <xf numFmtId="10" fontId="32" fillId="23" borderId="0" xfId="34" applyNumberFormat="1" applyFont="1" applyFill="1"/>
    <xf numFmtId="4" fontId="32" fillId="23" borderId="0" xfId="34" applyNumberFormat="1" applyFont="1" applyFill="1"/>
    <xf numFmtId="4" fontId="32" fillId="0" borderId="39" xfId="34" applyNumberFormat="1" applyFont="1" applyBorder="1"/>
    <xf numFmtId="4" fontId="3" fillId="0" borderId="0" xfId="34" applyNumberFormat="1" applyFont="1" applyAlignment="1">
      <alignment horizontal="center"/>
    </xf>
    <xf numFmtId="4" fontId="3" fillId="0" borderId="40" xfId="34" applyNumberFormat="1" applyFont="1" applyBorder="1" applyAlignment="1">
      <alignment horizontal="center"/>
    </xf>
    <xf numFmtId="4" fontId="3" fillId="0" borderId="40" xfId="34" applyNumberFormat="1" applyFont="1" applyBorder="1"/>
    <xf numFmtId="49" fontId="3" fillId="0" borderId="39" xfId="34" applyNumberFormat="1" applyFont="1" applyBorder="1"/>
    <xf numFmtId="179" fontId="3" fillId="0" borderId="0" xfId="34" applyNumberFormat="1" applyFont="1"/>
    <xf numFmtId="0" fontId="3" fillId="0" borderId="41" xfId="34" applyFont="1" applyBorder="1"/>
    <xf numFmtId="0" fontId="3" fillId="0" borderId="42" xfId="34" applyFont="1" applyBorder="1"/>
    <xf numFmtId="4" fontId="3" fillId="0" borderId="42" xfId="34" applyNumberFormat="1" applyFont="1" applyBorder="1"/>
    <xf numFmtId="4" fontId="3" fillId="0" borderId="43" xfId="34" applyNumberFormat="1" applyFont="1" applyBorder="1"/>
    <xf numFmtId="0" fontId="99" fillId="32" borderId="51" xfId="34" applyFont="1" applyFill="1" applyBorder="1"/>
    <xf numFmtId="0" fontId="99" fillId="32" borderId="52" xfId="34" applyFont="1" applyFill="1" applyBorder="1"/>
    <xf numFmtId="4" fontId="99" fillId="32" borderId="52" xfId="34" applyNumberFormat="1" applyFont="1" applyFill="1" applyBorder="1" applyAlignment="1">
      <alignment horizontal="right"/>
    </xf>
    <xf numFmtId="4" fontId="99" fillId="32" borderId="52" xfId="34" applyNumberFormat="1" applyFont="1" applyFill="1" applyBorder="1" applyAlignment="1">
      <alignment horizontal="left"/>
    </xf>
    <xf numFmtId="10" fontId="99" fillId="32" borderId="47" xfId="34" applyNumberFormat="1" applyFont="1" applyFill="1" applyBorder="1" applyAlignment="1">
      <alignment horizontal="right"/>
    </xf>
    <xf numFmtId="4" fontId="70" fillId="0" borderId="0" xfId="34" applyNumberFormat="1" applyFont="1"/>
    <xf numFmtId="4" fontId="2" fillId="0" borderId="0" xfId="34" applyNumberFormat="1" applyFont="1" applyAlignment="1">
      <alignment horizontal="right"/>
    </xf>
    <xf numFmtId="0" fontId="99" fillId="34" borderId="51" xfId="34" applyFont="1" applyFill="1" applyBorder="1" applyAlignment="1">
      <alignment horizontal="left" vertical="center"/>
    </xf>
    <xf numFmtId="0" fontId="100" fillId="34" borderId="52" xfId="32" applyFont="1" applyFill="1" applyBorder="1"/>
    <xf numFmtId="10" fontId="99" fillId="34" borderId="52" xfId="32" applyNumberFormat="1" applyFont="1" applyFill="1" applyBorder="1" applyAlignment="1">
      <alignment horizontal="center" vertical="center"/>
    </xf>
    <xf numFmtId="4" fontId="99" fillId="34" borderId="47" xfId="34" applyNumberFormat="1" applyFont="1" applyFill="1" applyBorder="1" applyAlignment="1">
      <alignment horizontal="center" vertical="center"/>
    </xf>
    <xf numFmtId="4" fontId="89" fillId="0" borderId="0" xfId="33" applyNumberFormat="1" applyAlignment="1"/>
    <xf numFmtId="0" fontId="8" fillId="35" borderId="0" xfId="27" applyFont="1" applyFill="1" applyAlignment="1">
      <alignment vertical="center"/>
    </xf>
    <xf numFmtId="4" fontId="7" fillId="35" borderId="0" xfId="27" applyNumberFormat="1" applyFont="1" applyFill="1" applyAlignment="1">
      <alignment horizontal="center" vertical="center"/>
    </xf>
    <xf numFmtId="0" fontId="7" fillId="35" borderId="0" xfId="27" applyFont="1" applyFill="1" applyAlignment="1">
      <alignment horizontal="left" vertical="center" indent="3"/>
    </xf>
    <xf numFmtId="4" fontId="4" fillId="35" borderId="0" xfId="27" applyNumberFormat="1" applyFill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54" xfId="0" applyBorder="1"/>
    <xf numFmtId="0" fontId="0" fillId="0" borderId="36" xfId="0" applyBorder="1"/>
    <xf numFmtId="0" fontId="0" fillId="0" borderId="3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9" borderId="55" xfId="0" applyFill="1" applyBorder="1"/>
    <xf numFmtId="0" fontId="0" fillId="0" borderId="56" xfId="0" applyBorder="1"/>
    <xf numFmtId="0" fontId="0" fillId="0" borderId="41" xfId="0" applyBorder="1"/>
    <xf numFmtId="0" fontId="0" fillId="0" borderId="4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9" borderId="39" xfId="0" applyFill="1" applyBorder="1"/>
    <xf numFmtId="0" fontId="0" fillId="9" borderId="40" xfId="0" applyFill="1" applyBorder="1" applyAlignment="1">
      <alignment horizontal="center"/>
    </xf>
    <xf numFmtId="2" fontId="69" fillId="9" borderId="55" xfId="0" applyNumberFormat="1" applyFont="1" applyFill="1" applyBorder="1" applyAlignment="1">
      <alignment horizontal="center"/>
    </xf>
    <xf numFmtId="0" fontId="0" fillId="0" borderId="55" xfId="0" applyBorder="1"/>
    <xf numFmtId="0" fontId="0" fillId="0" borderId="40" xfId="0" applyBorder="1" applyAlignment="1">
      <alignment horizontal="center"/>
    </xf>
    <xf numFmtId="2" fontId="0" fillId="0" borderId="55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9" xfId="0" applyBorder="1"/>
    <xf numFmtId="0" fontId="0" fillId="0" borderId="57" xfId="0" applyBorder="1"/>
    <xf numFmtId="0" fontId="0" fillId="0" borderId="5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7" xfId="0" applyBorder="1"/>
    <xf numFmtId="0" fontId="0" fillId="0" borderId="59" xfId="0" applyBorder="1"/>
    <xf numFmtId="0" fontId="0" fillId="0" borderId="60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61" xfId="0" applyBorder="1"/>
    <xf numFmtId="2" fontId="0" fillId="0" borderId="62" xfId="0" applyNumberFormat="1" applyBorder="1" applyAlignment="1">
      <alignment horizontal="center"/>
    </xf>
    <xf numFmtId="0" fontId="0" fillId="20" borderId="56" xfId="0" applyFill="1" applyBorder="1"/>
    <xf numFmtId="0" fontId="0" fillId="20" borderId="41" xfId="0" applyFill="1" applyBorder="1"/>
    <xf numFmtId="0" fontId="0" fillId="20" borderId="43" xfId="0" applyFill="1" applyBorder="1" applyAlignment="1">
      <alignment horizontal="center"/>
    </xf>
    <xf numFmtId="2" fontId="0" fillId="20" borderId="56" xfId="0" applyNumberFormat="1" applyFill="1" applyBorder="1" applyAlignment="1">
      <alignment horizontal="center"/>
    </xf>
    <xf numFmtId="0" fontId="7" fillId="22" borderId="0" xfId="0" applyFont="1" applyFill="1" applyAlignment="1">
      <alignment horizontal="left" vertical="center" indent="3"/>
    </xf>
    <xf numFmtId="0" fontId="73" fillId="0" borderId="0" xfId="0" applyFont="1"/>
    <xf numFmtId="4" fontId="0" fillId="0" borderId="0" xfId="0" applyNumberFormat="1"/>
    <xf numFmtId="4" fontId="0" fillId="0" borderId="40" xfId="0" applyNumberFormat="1" applyBorder="1"/>
    <xf numFmtId="0" fontId="77" fillId="24" borderId="39" xfId="0" applyFont="1" applyFill="1" applyBorder="1"/>
    <xf numFmtId="0" fontId="77" fillId="24" borderId="0" xfId="0" applyFont="1" applyFill="1" applyAlignment="1">
      <alignment horizontal="center" vertical="center"/>
    </xf>
    <xf numFmtId="172" fontId="78" fillId="24" borderId="40" xfId="0" applyNumberFormat="1" applyFont="1" applyFill="1" applyBorder="1"/>
    <xf numFmtId="0" fontId="77" fillId="20" borderId="39" xfId="0" applyFont="1" applyFill="1" applyBorder="1"/>
    <xf numFmtId="0" fontId="77" fillId="20" borderId="0" xfId="0" applyFont="1" applyFill="1" applyAlignment="1">
      <alignment horizontal="center" vertical="center"/>
    </xf>
    <xf numFmtId="172" fontId="77" fillId="20" borderId="0" xfId="0" applyNumberFormat="1" applyFont="1" applyFill="1" applyAlignment="1">
      <alignment horizontal="center" vertical="center"/>
    </xf>
    <xf numFmtId="171" fontId="77" fillId="20" borderId="0" xfId="0" applyNumberFormat="1" applyFont="1" applyFill="1" applyAlignment="1">
      <alignment horizontal="center" vertical="center"/>
    </xf>
    <xf numFmtId="0" fontId="0" fillId="12" borderId="39" xfId="0" applyFill="1" applyBorder="1"/>
    <xf numFmtId="0" fontId="0" fillId="12" borderId="0" xfId="0" applyFill="1" applyAlignment="1">
      <alignment horizontal="center" vertical="center"/>
    </xf>
    <xf numFmtId="4" fontId="72" fillId="12" borderId="40" xfId="0" applyNumberFormat="1" applyFont="1" applyFill="1" applyBorder="1"/>
    <xf numFmtId="0" fontId="69" fillId="25" borderId="72" xfId="0" applyFont="1" applyFill="1" applyBorder="1"/>
    <xf numFmtId="0" fontId="69" fillId="25" borderId="17" xfId="0" applyFont="1" applyFill="1" applyBorder="1" applyAlignment="1">
      <alignment horizontal="center" vertical="center"/>
    </xf>
    <xf numFmtId="0" fontId="69" fillId="20" borderId="74" xfId="0" applyFont="1" applyFill="1" applyBorder="1"/>
    <xf numFmtId="0" fontId="79" fillId="20" borderId="42" xfId="0" applyFont="1" applyFill="1" applyBorder="1" applyAlignment="1">
      <alignment horizontal="center" vertical="center"/>
    </xf>
    <xf numFmtId="172" fontId="79" fillId="20" borderId="42" xfId="0" applyNumberFormat="1" applyFont="1" applyFill="1" applyBorder="1" applyAlignment="1">
      <alignment horizontal="center" vertical="center"/>
    </xf>
    <xf numFmtId="174" fontId="80" fillId="9" borderId="43" xfId="0" applyNumberFormat="1" applyFont="1" applyFill="1" applyBorder="1"/>
    <xf numFmtId="171" fontId="79" fillId="20" borderId="42" xfId="0" applyNumberFormat="1" applyFont="1" applyFill="1" applyBorder="1" applyAlignment="1">
      <alignment horizontal="center" vertical="center"/>
    </xf>
    <xf numFmtId="4" fontId="0" fillId="0" borderId="42" xfId="0" applyNumberFormat="1" applyBorder="1"/>
    <xf numFmtId="0" fontId="0" fillId="0" borderId="43" xfId="0" applyBorder="1"/>
    <xf numFmtId="0" fontId="4" fillId="18" borderId="0" xfId="0" applyFont="1" applyFill="1"/>
    <xf numFmtId="1" fontId="33" fillId="0" borderId="17" xfId="0" applyNumberFormat="1" applyFont="1" applyBorder="1" applyAlignment="1">
      <alignment horizontal="center" vertical="center" wrapText="1"/>
    </xf>
    <xf numFmtId="168" fontId="55" fillId="23" borderId="0" xfId="0" applyNumberFormat="1" applyFont="1" applyFill="1" applyAlignment="1">
      <alignment horizontal="right" vertical="center"/>
    </xf>
    <xf numFmtId="165" fontId="20" fillId="9" borderId="17" xfId="0" applyNumberFormat="1" applyFont="1" applyFill="1" applyBorder="1" applyAlignment="1">
      <alignment horizontal="center" vertical="center" wrapText="1"/>
    </xf>
    <xf numFmtId="1" fontId="20" fillId="9" borderId="17" xfId="0" applyNumberFormat="1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5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2" fontId="4" fillId="0" borderId="0" xfId="0" applyNumberFormat="1" applyFont="1"/>
    <xf numFmtId="2" fontId="3" fillId="0" borderId="0" xfId="0" applyNumberFormat="1" applyFont="1" applyAlignment="1">
      <alignment horizontal="right" vertical="center"/>
    </xf>
    <xf numFmtId="2" fontId="62" fillId="0" borderId="0" xfId="24" applyNumberFormat="1"/>
    <xf numFmtId="180" fontId="3" fillId="0" borderId="0" xfId="0" applyNumberFormat="1" applyFont="1"/>
    <xf numFmtId="4" fontId="3" fillId="0" borderId="17" xfId="0" applyNumberFormat="1" applyFont="1" applyBorder="1"/>
    <xf numFmtId="0" fontId="3" fillId="0" borderId="17" xfId="0" applyFont="1" applyBorder="1"/>
    <xf numFmtId="168" fontId="3" fillId="0" borderId="17" xfId="0" applyNumberFormat="1" applyFont="1" applyBorder="1"/>
    <xf numFmtId="180" fontId="3" fillId="36" borderId="17" xfId="0" applyNumberFormat="1" applyFont="1" applyFill="1" applyBorder="1"/>
    <xf numFmtId="4" fontId="3" fillId="33" borderId="17" xfId="0" applyNumberFormat="1" applyFont="1" applyFill="1" applyBorder="1"/>
    <xf numFmtId="0" fontId="3" fillId="33" borderId="17" xfId="0" applyFont="1" applyFill="1" applyBorder="1"/>
    <xf numFmtId="168" fontId="3" fillId="33" borderId="17" xfId="0" applyNumberFormat="1" applyFont="1" applyFill="1" applyBorder="1"/>
    <xf numFmtId="180" fontId="3" fillId="33" borderId="17" xfId="0" applyNumberFormat="1" applyFont="1" applyFill="1" applyBorder="1"/>
    <xf numFmtId="180" fontId="3" fillId="37" borderId="17" xfId="0" applyNumberFormat="1" applyFont="1" applyFill="1" applyBorder="1"/>
    <xf numFmtId="180" fontId="0" fillId="38" borderId="0" xfId="0" applyNumberFormat="1" applyFill="1"/>
    <xf numFmtId="4" fontId="3" fillId="0" borderId="0" xfId="0" applyNumberFormat="1" applyFont="1"/>
    <xf numFmtId="0" fontId="3" fillId="0" borderId="0" xfId="0" applyFont="1"/>
    <xf numFmtId="168" fontId="3" fillId="0" borderId="0" xfId="0" applyNumberFormat="1" applyFont="1"/>
    <xf numFmtId="0" fontId="56" fillId="15" borderId="0" xfId="0" applyFont="1" applyFill="1" applyAlignment="1">
      <alignment vertical="center" wrapText="1"/>
    </xf>
    <xf numFmtId="0" fontId="56" fillId="15" borderId="42" xfId="0" applyFont="1" applyFill="1" applyBorder="1" applyAlignment="1">
      <alignment horizontal="left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wrapText="1"/>
    </xf>
    <xf numFmtId="0" fontId="57" fillId="0" borderId="0" xfId="22" applyNumberFormat="1" applyFont="1" applyAlignment="1">
      <alignment horizontal="left" vertical="center" wrapText="1"/>
    </xf>
    <xf numFmtId="0" fontId="55" fillId="0" borderId="42" xfId="0" applyFont="1" applyBorder="1" applyAlignment="1">
      <alignment wrapText="1"/>
    </xf>
    <xf numFmtId="0" fontId="56" fillId="0" borderId="37" xfId="0" applyFont="1" applyBorder="1" applyAlignment="1">
      <alignment horizontal="center" vertical="center" wrapText="1"/>
    </xf>
    <xf numFmtId="0" fontId="55" fillId="17" borderId="0" xfId="0" applyFont="1" applyFill="1" applyAlignment="1">
      <alignment horizontal="left" vertical="center" wrapText="1"/>
    </xf>
    <xf numFmtId="0" fontId="65" fillId="17" borderId="0" xfId="0" applyFont="1" applyFill="1" applyAlignment="1">
      <alignment horizontal="left" vertical="center" wrapText="1"/>
    </xf>
    <xf numFmtId="0" fontId="55" fillId="18" borderId="0" xfId="0" quotePrefix="1" applyFont="1" applyFill="1" applyAlignment="1">
      <alignment horizontal="left" vertical="center" wrapText="1"/>
    </xf>
    <xf numFmtId="0" fontId="55" fillId="18" borderId="0" xfId="0" applyFont="1" applyFill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33" borderId="17" xfId="0" applyFill="1" applyBorder="1" applyAlignment="1">
      <alignment wrapText="1"/>
    </xf>
    <xf numFmtId="0" fontId="102" fillId="0" borderId="0" xfId="0" applyFont="1"/>
    <xf numFmtId="4" fontId="103" fillId="0" borderId="0" xfId="0" applyNumberFormat="1" applyFont="1"/>
    <xf numFmtId="0" fontId="104" fillId="0" borderId="0" xfId="0" applyFont="1"/>
    <xf numFmtId="0" fontId="105" fillId="0" borderId="0" xfId="0" applyFont="1"/>
    <xf numFmtId="0" fontId="106" fillId="39" borderId="88" xfId="0" applyFont="1" applyFill="1" applyBorder="1" applyAlignment="1">
      <alignment horizontal="center" vertical="center" wrapText="1"/>
    </xf>
    <xf numFmtId="0" fontId="106" fillId="39" borderId="88" xfId="0" applyFont="1" applyFill="1" applyBorder="1" applyAlignment="1">
      <alignment horizontal="center"/>
    </xf>
    <xf numFmtId="0" fontId="106" fillId="39" borderId="88" xfId="0" applyFont="1" applyFill="1" applyBorder="1"/>
    <xf numFmtId="2" fontId="106" fillId="39" borderId="88" xfId="0" applyNumberFormat="1" applyFont="1" applyFill="1" applyBorder="1" applyAlignment="1">
      <alignment horizontal="center"/>
    </xf>
    <xf numFmtId="181" fontId="106" fillId="39" borderId="88" xfId="0" applyNumberFormat="1" applyFont="1" applyFill="1" applyBorder="1" applyAlignment="1">
      <alignment horizontal="center"/>
    </xf>
    <xf numFmtId="0" fontId="106" fillId="40" borderId="88" xfId="0" applyFont="1" applyFill="1" applyBorder="1" applyAlignment="1">
      <alignment horizontal="center"/>
    </xf>
    <xf numFmtId="0" fontId="106" fillId="40" borderId="88" xfId="0" applyFont="1" applyFill="1" applyBorder="1"/>
    <xf numFmtId="2" fontId="106" fillId="40" borderId="88" xfId="0" applyNumberFormat="1" applyFont="1" applyFill="1" applyBorder="1" applyAlignment="1">
      <alignment horizontal="center"/>
    </xf>
    <xf numFmtId="181" fontId="106" fillId="40" borderId="88" xfId="0" applyNumberFormat="1" applyFont="1" applyFill="1" applyBorder="1" applyAlignment="1">
      <alignment horizontal="center"/>
    </xf>
    <xf numFmtId="0" fontId="108" fillId="41" borderId="88" xfId="0" applyFont="1" applyFill="1" applyBorder="1" applyAlignment="1">
      <alignment horizontal="center"/>
    </xf>
    <xf numFmtId="0" fontId="108" fillId="41" borderId="88" xfId="0" applyFont="1" applyFill="1" applyBorder="1"/>
    <xf numFmtId="2" fontId="108" fillId="41" borderId="88" xfId="0" applyNumberFormat="1" applyFont="1" applyFill="1" applyBorder="1" applyAlignment="1">
      <alignment horizontal="center"/>
    </xf>
    <xf numFmtId="181" fontId="108" fillId="41" borderId="88" xfId="0" applyNumberFormat="1" applyFont="1" applyFill="1" applyBorder="1" applyAlignment="1">
      <alignment horizontal="center"/>
    </xf>
    <xf numFmtId="0" fontId="107" fillId="42" borderId="88" xfId="0" applyFont="1" applyFill="1" applyBorder="1" applyAlignment="1">
      <alignment horizontal="center"/>
    </xf>
    <xf numFmtId="0" fontId="107" fillId="42" borderId="88" xfId="0" applyFont="1" applyFill="1" applyBorder="1"/>
    <xf numFmtId="2" fontId="107" fillId="42" borderId="88" xfId="0" applyNumberFormat="1" applyFont="1" applyFill="1" applyBorder="1" applyAlignment="1">
      <alignment horizontal="center"/>
    </xf>
    <xf numFmtId="181" fontId="107" fillId="42" borderId="88" xfId="0" applyNumberFormat="1" applyFont="1" applyFill="1" applyBorder="1" applyAlignment="1">
      <alignment horizontal="center"/>
    </xf>
    <xf numFmtId="0" fontId="108" fillId="43" borderId="88" xfId="0" applyFont="1" applyFill="1" applyBorder="1" applyAlignment="1">
      <alignment horizontal="center"/>
    </xf>
    <xf numFmtId="0" fontId="108" fillId="43" borderId="88" xfId="0" applyFont="1" applyFill="1" applyBorder="1"/>
    <xf numFmtId="2" fontId="108" fillId="43" borderId="88" xfId="0" applyNumberFormat="1" applyFont="1" applyFill="1" applyBorder="1" applyAlignment="1">
      <alignment horizontal="center"/>
    </xf>
    <xf numFmtId="181" fontId="108" fillId="43" borderId="88" xfId="0" applyNumberFormat="1" applyFont="1" applyFill="1" applyBorder="1" applyAlignment="1">
      <alignment horizontal="center"/>
    </xf>
    <xf numFmtId="0" fontId="107" fillId="44" borderId="88" xfId="0" applyFont="1" applyFill="1" applyBorder="1" applyAlignment="1">
      <alignment horizontal="center"/>
    </xf>
    <xf numFmtId="0" fontId="107" fillId="44" borderId="88" xfId="0" applyFont="1" applyFill="1" applyBorder="1"/>
    <xf numFmtId="2" fontId="107" fillId="44" borderId="88" xfId="0" applyNumberFormat="1" applyFont="1" applyFill="1" applyBorder="1" applyAlignment="1">
      <alignment horizontal="center"/>
    </xf>
    <xf numFmtId="181" fontId="107" fillId="44" borderId="88" xfId="0" applyNumberFormat="1" applyFont="1" applyFill="1" applyBorder="1" applyAlignment="1">
      <alignment horizontal="center"/>
    </xf>
    <xf numFmtId="0" fontId="109" fillId="0" borderId="0" xfId="0" applyFont="1"/>
    <xf numFmtId="0" fontId="111" fillId="0" borderId="0" xfId="0" applyFont="1"/>
    <xf numFmtId="0" fontId="109" fillId="0" borderId="0" xfId="0" applyFont="1" applyAlignment="1">
      <alignment horizontal="right"/>
    </xf>
    <xf numFmtId="0" fontId="110" fillId="39" borderId="90" xfId="0" applyFont="1" applyFill="1" applyBorder="1" applyAlignment="1">
      <alignment horizontal="right" vertical="center" wrapText="1"/>
    </xf>
    <xf numFmtId="0" fontId="112" fillId="0" borderId="0" xfId="0" applyFont="1"/>
    <xf numFmtId="182" fontId="110" fillId="39" borderId="0" xfId="0" applyNumberFormat="1" applyFont="1" applyFill="1" applyAlignment="1">
      <alignment horizontal="center" vertical="center"/>
    </xf>
    <xf numFmtId="0" fontId="110" fillId="39" borderId="0" xfId="0" applyFont="1" applyFill="1" applyAlignment="1">
      <alignment horizontal="center" vertical="center"/>
    </xf>
    <xf numFmtId="0" fontId="113" fillId="42" borderId="89" xfId="0" applyFont="1" applyFill="1" applyBorder="1" applyAlignment="1">
      <alignment horizontal="center"/>
    </xf>
    <xf numFmtId="0" fontId="0" fillId="45" borderId="92" xfId="0" applyFill="1" applyBorder="1"/>
    <xf numFmtId="0" fontId="0" fillId="46" borderId="93" xfId="0" applyFill="1" applyBorder="1"/>
    <xf numFmtId="0" fontId="0" fillId="47" borderId="94" xfId="0" applyFill="1" applyBorder="1"/>
    <xf numFmtId="0" fontId="0" fillId="48" borderId="95" xfId="0" applyFill="1" applyBorder="1"/>
    <xf numFmtId="0" fontId="0" fillId="49" borderId="91" xfId="0" applyFill="1" applyBorder="1"/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183" fontId="0" fillId="0" borderId="0" xfId="0" applyNumberFormat="1" applyAlignment="1">
      <alignment vertical="center"/>
    </xf>
    <xf numFmtId="0" fontId="117" fillId="0" borderId="0" xfId="0" applyFont="1"/>
    <xf numFmtId="0" fontId="119" fillId="0" borderId="0" xfId="0" applyFont="1"/>
    <xf numFmtId="0" fontId="106" fillId="50" borderId="0" xfId="0" applyFont="1" applyFill="1" applyAlignment="1">
      <alignment horizontal="center"/>
    </xf>
    <xf numFmtId="0" fontId="106" fillId="40" borderId="0" xfId="0" applyFont="1" applyFill="1" applyAlignment="1">
      <alignment horizontal="center"/>
    </xf>
    <xf numFmtId="0" fontId="106" fillId="51" borderId="0" xfId="0" applyFont="1" applyFill="1" applyAlignment="1">
      <alignment horizontal="center"/>
    </xf>
    <xf numFmtId="0" fontId="106" fillId="52" borderId="0" xfId="0" applyFont="1" applyFill="1" applyAlignment="1">
      <alignment horizontal="center"/>
    </xf>
    <xf numFmtId="0" fontId="106" fillId="53" borderId="0" xfId="0" applyFont="1" applyFill="1" applyAlignment="1">
      <alignment horizontal="center"/>
    </xf>
    <xf numFmtId="169" fontId="0" fillId="0" borderId="0" xfId="0" applyNumberFormat="1"/>
    <xf numFmtId="0" fontId="112" fillId="0" borderId="0" xfId="0" applyFont="1" applyAlignment="1">
      <alignment horizontal="center"/>
    </xf>
    <xf numFmtId="0" fontId="102" fillId="9" borderId="0" xfId="0" applyFont="1" applyFill="1" applyAlignment="1">
      <alignment horizontal="center"/>
    </xf>
    <xf numFmtId="0" fontId="102" fillId="0" borderId="0" xfId="0" applyFont="1" applyAlignment="1">
      <alignment horizontal="center"/>
    </xf>
    <xf numFmtId="0" fontId="111" fillId="0" borderId="0" xfId="0" applyFont="1" applyAlignment="1">
      <alignment vertical="center"/>
    </xf>
    <xf numFmtId="169" fontId="120" fillId="54" borderId="0" xfId="0" applyNumberFormat="1" applyFont="1" applyFill="1" applyAlignment="1">
      <alignment vertical="center"/>
    </xf>
    <xf numFmtId="183" fontId="3" fillId="0" borderId="0" xfId="0" applyNumberFormat="1" applyFont="1" applyAlignment="1">
      <alignment vertical="center"/>
    </xf>
    <xf numFmtId="0" fontId="121" fillId="40" borderId="0" xfId="0" applyFont="1" applyFill="1" applyAlignment="1">
      <alignment horizontal="center"/>
    </xf>
    <xf numFmtId="0" fontId="121" fillId="52" borderId="0" xfId="0" applyFont="1" applyFill="1" applyAlignment="1">
      <alignment horizontal="center"/>
    </xf>
    <xf numFmtId="0" fontId="121" fillId="53" borderId="0" xfId="0" applyFont="1" applyFill="1" applyAlignment="1">
      <alignment horizontal="center"/>
    </xf>
    <xf numFmtId="184" fontId="111" fillId="0" borderId="0" xfId="0" applyNumberFormat="1" applyFont="1"/>
    <xf numFmtId="0" fontId="112" fillId="55" borderId="0" xfId="0" applyFont="1" applyFill="1" applyAlignment="1">
      <alignment horizontal="center"/>
    </xf>
    <xf numFmtId="1" fontId="111" fillId="0" borderId="0" xfId="0" applyNumberFormat="1" applyFont="1"/>
    <xf numFmtId="169" fontId="112" fillId="0" borderId="0" xfId="0" applyNumberFormat="1" applyFont="1"/>
    <xf numFmtId="185" fontId="111" fillId="0" borderId="0" xfId="0" applyNumberFormat="1" applyFont="1"/>
    <xf numFmtId="0" fontId="111" fillId="0" borderId="0" xfId="0" applyFont="1" applyAlignment="1">
      <alignment vertical="top"/>
    </xf>
    <xf numFmtId="183" fontId="111" fillId="0" borderId="0" xfId="0" applyNumberFormat="1" applyFont="1" applyAlignment="1">
      <alignment vertical="top"/>
    </xf>
    <xf numFmtId="169" fontId="118" fillId="0" borderId="0" xfId="0" applyNumberFormat="1" applyFont="1" applyAlignment="1">
      <alignment vertical="top"/>
    </xf>
    <xf numFmtId="169" fontId="111" fillId="0" borderId="0" xfId="0" applyNumberFormat="1" applyFont="1" applyAlignment="1">
      <alignment vertical="top"/>
    </xf>
    <xf numFmtId="0" fontId="106" fillId="40" borderId="0" xfId="0" applyFont="1" applyFill="1" applyAlignment="1">
      <alignment horizontal="center" wrapText="1"/>
    </xf>
    <xf numFmtId="0" fontId="111" fillId="0" borderId="0" xfId="0" applyFont="1" applyAlignment="1">
      <alignment vertical="top" wrapText="1"/>
    </xf>
    <xf numFmtId="0" fontId="106" fillId="50" borderId="0" xfId="0" applyFont="1" applyFill="1" applyAlignment="1">
      <alignment horizontal="center" wrapText="1"/>
    </xf>
    <xf numFmtId="0" fontId="58" fillId="0" borderId="0" xfId="0" applyFont="1" applyAlignment="1">
      <alignment vertical="center"/>
    </xf>
    <xf numFmtId="0" fontId="121" fillId="50" borderId="0" xfId="0" applyFont="1" applyFill="1"/>
    <xf numFmtId="4" fontId="111" fillId="0" borderId="0" xfId="0" applyNumberFormat="1" applyFont="1"/>
    <xf numFmtId="4" fontId="112" fillId="0" borderId="0" xfId="0" applyNumberFormat="1" applyFont="1"/>
    <xf numFmtId="3" fontId="111" fillId="0" borderId="0" xfId="0" applyNumberFormat="1" applyFont="1"/>
    <xf numFmtId="0" fontId="111" fillId="0" borderId="0" xfId="0" applyFont="1" applyAlignment="1">
      <alignment wrapText="1"/>
    </xf>
    <xf numFmtId="170" fontId="0" fillId="0" borderId="0" xfId="0" applyNumberFormat="1"/>
    <xf numFmtId="0" fontId="122" fillId="0" borderId="0" xfId="0" applyFont="1"/>
    <xf numFmtId="0" fontId="121" fillId="52" borderId="90" xfId="0" applyFont="1" applyFill="1" applyBorder="1" applyAlignment="1">
      <alignment horizontal="center" vertical="center" wrapText="1"/>
    </xf>
    <xf numFmtId="0" fontId="121" fillId="57" borderId="90" xfId="0" applyFont="1" applyFill="1" applyBorder="1" applyAlignment="1">
      <alignment horizontal="center" vertical="center" wrapText="1"/>
    </xf>
    <xf numFmtId="0" fontId="121" fillId="55" borderId="90" xfId="0" applyFont="1" applyFill="1" applyBorder="1" applyAlignment="1">
      <alignment horizontal="center" vertical="center" wrapText="1"/>
    </xf>
    <xf numFmtId="184" fontId="112" fillId="0" borderId="0" xfId="0" applyNumberFormat="1" applyFont="1"/>
    <xf numFmtId="186" fontId="109" fillId="0" borderId="0" xfId="0" applyNumberFormat="1" applyFont="1" applyAlignment="1">
      <alignment horizontal="center"/>
    </xf>
    <xf numFmtId="0" fontId="110" fillId="50" borderId="0" xfId="0" applyFont="1" applyFill="1" applyAlignment="1">
      <alignment horizontal="center"/>
    </xf>
    <xf numFmtId="187" fontId="123" fillId="0" borderId="0" xfId="0" applyNumberFormat="1" applyFont="1" applyAlignment="1">
      <alignment horizontal="center"/>
    </xf>
    <xf numFmtId="188" fontId="0" fillId="0" borderId="0" xfId="0" applyNumberFormat="1"/>
    <xf numFmtId="2" fontId="124" fillId="56" borderId="88" xfId="0" applyNumberFormat="1" applyFont="1" applyFill="1" applyBorder="1" applyAlignment="1">
      <alignment horizontal="center"/>
    </xf>
    <xf numFmtId="181" fontId="124" fillId="56" borderId="88" xfId="0" applyNumberFormat="1" applyFont="1" applyFill="1" applyBorder="1" applyAlignment="1">
      <alignment horizontal="center"/>
    </xf>
    <xf numFmtId="0" fontId="123" fillId="56" borderId="0" xfId="0" applyFont="1" applyFill="1"/>
    <xf numFmtId="179" fontId="123" fillId="56" borderId="0" xfId="0" applyNumberFormat="1" applyFont="1" applyFill="1"/>
    <xf numFmtId="188" fontId="123" fillId="56" borderId="0" xfId="0" applyNumberFormat="1" applyFont="1" applyFill="1" applyAlignment="1">
      <alignment horizontal="center"/>
    </xf>
    <xf numFmtId="188" fontId="123" fillId="56" borderId="0" xfId="0" applyNumberFormat="1" applyFont="1" applyFill="1"/>
    <xf numFmtId="2" fontId="124" fillId="46" borderId="88" xfId="0" applyNumberFormat="1" applyFont="1" applyFill="1" applyBorder="1" applyAlignment="1">
      <alignment horizontal="center"/>
    </xf>
    <xf numFmtId="181" fontId="124" fillId="46" borderId="88" xfId="0" applyNumberFormat="1" applyFont="1" applyFill="1" applyBorder="1" applyAlignment="1">
      <alignment horizontal="center"/>
    </xf>
    <xf numFmtId="0" fontId="123" fillId="46" borderId="0" xfId="0" applyFont="1" applyFill="1"/>
    <xf numFmtId="179" fontId="123" fillId="46" borderId="0" xfId="0" applyNumberFormat="1" applyFont="1" applyFill="1"/>
    <xf numFmtId="188" fontId="123" fillId="46" borderId="0" xfId="0" applyNumberFormat="1" applyFont="1" applyFill="1"/>
    <xf numFmtId="2" fontId="124" fillId="58" borderId="88" xfId="0" applyNumberFormat="1" applyFont="1" applyFill="1" applyBorder="1" applyAlignment="1">
      <alignment horizontal="center"/>
    </xf>
    <xf numFmtId="181" fontId="124" fillId="58" borderId="88" xfId="0" applyNumberFormat="1" applyFont="1" applyFill="1" applyBorder="1" applyAlignment="1">
      <alignment horizontal="center"/>
    </xf>
    <xf numFmtId="0" fontId="123" fillId="58" borderId="0" xfId="0" applyFont="1" applyFill="1"/>
    <xf numFmtId="0" fontId="123" fillId="44" borderId="0" xfId="0" applyFont="1" applyFill="1"/>
    <xf numFmtId="169" fontId="123" fillId="44" borderId="0" xfId="0" applyNumberFormat="1" applyFont="1" applyFill="1"/>
    <xf numFmtId="169" fontId="109" fillId="58" borderId="0" xfId="0" applyNumberFormat="1" applyFont="1" applyFill="1"/>
    <xf numFmtId="0" fontId="106" fillId="39" borderId="88" xfId="0" applyFont="1" applyFill="1" applyBorder="1" applyAlignment="1">
      <alignment wrapText="1"/>
    </xf>
    <xf numFmtId="0" fontId="106" fillId="40" borderId="88" xfId="0" applyFont="1" applyFill="1" applyBorder="1" applyAlignment="1">
      <alignment wrapText="1"/>
    </xf>
    <xf numFmtId="0" fontId="108" fillId="41" borderId="88" xfId="0" applyFont="1" applyFill="1" applyBorder="1" applyAlignment="1">
      <alignment wrapText="1"/>
    </xf>
    <xf numFmtId="0" fontId="107" fillId="42" borderId="88" xfId="0" applyFont="1" applyFill="1" applyBorder="1" applyAlignment="1">
      <alignment wrapText="1"/>
    </xf>
    <xf numFmtId="0" fontId="108" fillId="43" borderId="88" xfId="0" applyFont="1" applyFill="1" applyBorder="1" applyAlignment="1">
      <alignment wrapText="1"/>
    </xf>
    <xf numFmtId="0" fontId="107" fillId="44" borderId="88" xfId="0" applyFont="1" applyFill="1" applyBorder="1" applyAlignment="1">
      <alignment wrapText="1"/>
    </xf>
    <xf numFmtId="0" fontId="124" fillId="56" borderId="88" xfId="0" applyFont="1" applyFill="1" applyBorder="1" applyAlignment="1">
      <alignment wrapText="1"/>
    </xf>
    <xf numFmtId="0" fontId="124" fillId="46" borderId="88" xfId="0" applyFont="1" applyFill="1" applyBorder="1" applyAlignment="1">
      <alignment wrapText="1"/>
    </xf>
    <xf numFmtId="0" fontId="124" fillId="58" borderId="88" xfId="0" applyFont="1" applyFill="1" applyBorder="1" applyAlignment="1">
      <alignment wrapText="1"/>
    </xf>
    <xf numFmtId="0" fontId="124" fillId="44" borderId="90" xfId="0" applyFont="1" applyFill="1" applyBorder="1" applyAlignment="1">
      <alignment wrapText="1"/>
    </xf>
    <xf numFmtId="0" fontId="20" fillId="0" borderId="21" xfId="0" applyFont="1" applyBorder="1" applyAlignment="1">
      <alignment horizontal="center" vertical="center" wrapText="1"/>
    </xf>
    <xf numFmtId="0" fontId="19" fillId="12" borderId="84" xfId="0" applyFont="1" applyFill="1" applyBorder="1" applyAlignment="1">
      <alignment horizontal="center" vertical="center" wrapText="1"/>
    </xf>
    <xf numFmtId="0" fontId="20" fillId="12" borderId="84" xfId="0" applyFont="1" applyFill="1" applyBorder="1" applyAlignment="1">
      <alignment horizontal="center" vertical="center" wrapText="1"/>
    </xf>
    <xf numFmtId="1" fontId="19" fillId="12" borderId="84" xfId="0" applyNumberFormat="1" applyFont="1" applyFill="1" applyBorder="1" applyAlignment="1">
      <alignment horizontal="center" vertical="center" wrapText="1"/>
    </xf>
    <xf numFmtId="1" fontId="33" fillId="12" borderId="84" xfId="0" applyNumberFormat="1" applyFont="1" applyFill="1" applyBorder="1" applyAlignment="1">
      <alignment horizontal="center" vertical="center" wrapText="1"/>
    </xf>
    <xf numFmtId="0" fontId="19" fillId="12" borderId="84" xfId="0" applyFont="1" applyFill="1" applyBorder="1" applyAlignment="1">
      <alignment vertical="center" wrapText="1"/>
    </xf>
    <xf numFmtId="2" fontId="19" fillId="12" borderId="84" xfId="0" applyNumberFormat="1" applyFont="1" applyFill="1" applyBorder="1" applyAlignment="1">
      <alignment horizontal="right" vertical="center" wrapText="1"/>
    </xf>
    <xf numFmtId="0" fontId="19" fillId="59" borderId="96" xfId="0" applyFont="1" applyFill="1" applyBorder="1" applyAlignment="1">
      <alignment horizontal="center" vertical="center" wrapText="1"/>
    </xf>
    <xf numFmtId="0" fontId="20" fillId="59" borderId="96" xfId="0" applyFont="1" applyFill="1" applyBorder="1" applyAlignment="1">
      <alignment horizontal="center" vertical="center" wrapText="1"/>
    </xf>
    <xf numFmtId="1" fontId="19" fillId="59" borderId="96" xfId="0" applyNumberFormat="1" applyFont="1" applyFill="1" applyBorder="1" applyAlignment="1">
      <alignment horizontal="center" vertical="center" wrapText="1"/>
    </xf>
    <xf numFmtId="1" fontId="33" fillId="59" borderId="96" xfId="0" applyNumberFormat="1" applyFont="1" applyFill="1" applyBorder="1" applyAlignment="1">
      <alignment horizontal="center" vertical="center" wrapText="1"/>
    </xf>
    <xf numFmtId="0" fontId="19" fillId="59" borderId="96" xfId="0" applyFont="1" applyFill="1" applyBorder="1" applyAlignment="1">
      <alignment vertical="center" wrapText="1"/>
    </xf>
    <xf numFmtId="1" fontId="30" fillId="59" borderId="96" xfId="0" applyNumberFormat="1" applyFont="1" applyFill="1" applyBorder="1" applyAlignment="1">
      <alignment horizontal="center" vertical="center" wrapText="1"/>
    </xf>
    <xf numFmtId="2" fontId="20" fillId="59" borderId="96" xfId="0" applyNumberFormat="1" applyFont="1" applyFill="1" applyBorder="1" applyAlignment="1">
      <alignment horizontal="right" vertical="center" wrapText="1"/>
    </xf>
    <xf numFmtId="2" fontId="19" fillId="59" borderId="96" xfId="0" applyNumberFormat="1" applyFont="1" applyFill="1" applyBorder="1" applyAlignment="1">
      <alignment horizontal="right" vertical="center" wrapText="1"/>
    </xf>
    <xf numFmtId="49" fontId="20" fillId="59" borderId="96" xfId="0" applyNumberFormat="1" applyFont="1" applyFill="1" applyBorder="1" applyAlignment="1">
      <alignment horizontal="center" vertical="center" wrapText="1"/>
    </xf>
    <xf numFmtId="0" fontId="20" fillId="37" borderId="17" xfId="0" applyFont="1" applyFill="1" applyBorder="1" applyAlignment="1">
      <alignment horizontal="center" vertical="center" wrapText="1"/>
    </xf>
    <xf numFmtId="0" fontId="19" fillId="37" borderId="17" xfId="0" applyFont="1" applyFill="1" applyBorder="1" applyAlignment="1">
      <alignment horizontal="center" vertical="center" wrapText="1"/>
    </xf>
    <xf numFmtId="49" fontId="20" fillId="37" borderId="17" xfId="0" applyNumberFormat="1" applyFont="1" applyFill="1" applyBorder="1" applyAlignment="1">
      <alignment horizontal="center" vertical="center" wrapText="1"/>
    </xf>
    <xf numFmtId="1" fontId="20" fillId="37" borderId="17" xfId="19" applyNumberFormat="1" applyFont="1" applyFill="1" applyBorder="1" applyAlignment="1">
      <alignment horizontal="center" vertical="center" wrapText="1"/>
    </xf>
    <xf numFmtId="2" fontId="20" fillId="37" borderId="17" xfId="0" applyNumberFormat="1" applyFont="1" applyFill="1" applyBorder="1" applyAlignment="1">
      <alignment horizontal="righ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19" fillId="12" borderId="17" xfId="0" applyFont="1" applyFill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37" borderId="17" xfId="0" applyFont="1" applyFill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59" borderId="96" xfId="0" applyFont="1" applyFill="1" applyBorder="1" applyAlignment="1">
      <alignment horizontal="left" vertical="center" wrapText="1"/>
    </xf>
    <xf numFmtId="0" fontId="19" fillId="12" borderId="84" xfId="0" applyFont="1" applyFill="1" applyBorder="1" applyAlignment="1">
      <alignment horizontal="left" vertical="center" wrapText="1"/>
    </xf>
    <xf numFmtId="0" fontId="20" fillId="9" borderId="17" xfId="0" applyFont="1" applyFill="1" applyBorder="1" applyAlignment="1">
      <alignment horizontal="left" vertical="center" wrapText="1"/>
    </xf>
    <xf numFmtId="0" fontId="58" fillId="0" borderId="0" xfId="0" applyFont="1"/>
    <xf numFmtId="0" fontId="26" fillId="8" borderId="17" xfId="0" applyFont="1" applyFill="1" applyBorder="1" applyAlignment="1">
      <alignment horizontal="left" vertical="center" wrapText="1"/>
    </xf>
    <xf numFmtId="0" fontId="29" fillId="8" borderId="17" xfId="0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9" fillId="0" borderId="17" xfId="0" applyFont="1" applyBorder="1" applyAlignment="1">
      <alignment horizontal="left" vertical="center"/>
    </xf>
    <xf numFmtId="0" fontId="20" fillId="12" borderId="15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12" borderId="17" xfId="0" applyFont="1" applyFill="1" applyBorder="1" applyAlignment="1">
      <alignment horizontal="left" vertical="center" wrapText="1"/>
    </xf>
    <xf numFmtId="0" fontId="20" fillId="59" borderId="96" xfId="0" applyFont="1" applyFill="1" applyBorder="1" applyAlignment="1">
      <alignment horizontal="left" vertical="center" wrapText="1"/>
    </xf>
    <xf numFmtId="0" fontId="20" fillId="0" borderId="15" xfId="0" quotePrefix="1" applyFont="1" applyBorder="1" applyAlignment="1">
      <alignment horizontal="left" vertical="center" wrapText="1"/>
    </xf>
    <xf numFmtId="1" fontId="20" fillId="0" borderId="17" xfId="0" applyNumberFormat="1" applyFont="1" applyBorder="1" applyAlignment="1">
      <alignment horizontal="left" vertical="center" wrapText="1"/>
    </xf>
    <xf numFmtId="1" fontId="20" fillId="12" borderId="1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121" fillId="8" borderId="0" xfId="0" applyFont="1" applyFill="1" applyAlignment="1">
      <alignment horizontal="center" vertical="center"/>
    </xf>
    <xf numFmtId="165" fontId="111" fillId="0" borderId="0" xfId="0" applyNumberFormat="1" applyFont="1"/>
    <xf numFmtId="179" fontId="111" fillId="0" borderId="0" xfId="0" applyNumberFormat="1" applyFont="1"/>
    <xf numFmtId="2" fontId="111" fillId="0" borderId="0" xfId="0" applyNumberFormat="1" applyFont="1"/>
    <xf numFmtId="0" fontId="111" fillId="0" borderId="0" xfId="0" applyFont="1" applyAlignment="1">
      <alignment horizontal="left"/>
    </xf>
    <xf numFmtId="189" fontId="111" fillId="0" borderId="0" xfId="0" applyNumberFormat="1" applyFont="1"/>
    <xf numFmtId="0" fontId="126" fillId="8" borderId="0" xfId="0" applyFont="1" applyFill="1" applyAlignment="1">
      <alignment horizontal="center" vertical="center" wrapText="1"/>
    </xf>
    <xf numFmtId="0" fontId="45" fillId="0" borderId="0" xfId="0" applyFont="1"/>
    <xf numFmtId="0" fontId="127" fillId="0" borderId="0" xfId="0" applyFont="1"/>
    <xf numFmtId="49" fontId="125" fillId="0" borderId="97" xfId="0" applyNumberFormat="1" applyFont="1" applyBorder="1" applyAlignment="1">
      <alignment vertical="top"/>
    </xf>
    <xf numFmtId="0" fontId="125" fillId="0" borderId="98" xfId="0" applyFont="1" applyBorder="1" applyAlignment="1">
      <alignment vertical="top" wrapText="1"/>
    </xf>
    <xf numFmtId="0" fontId="125" fillId="0" borderId="98" xfId="0" applyFont="1" applyBorder="1" applyAlignment="1">
      <alignment vertical="top"/>
    </xf>
    <xf numFmtId="183" fontId="125" fillId="0" borderId="98" xfId="0" applyNumberFormat="1" applyFont="1" applyBorder="1" applyAlignment="1">
      <alignment vertical="top"/>
    </xf>
    <xf numFmtId="190" fontId="125" fillId="0" borderId="98" xfId="0" applyNumberFormat="1" applyFont="1" applyBorder="1" applyAlignment="1">
      <alignment vertical="top"/>
    </xf>
    <xf numFmtId="184" fontId="125" fillId="0" borderId="98" xfId="0" applyNumberFormat="1" applyFont="1" applyBorder="1" applyAlignment="1">
      <alignment vertical="top"/>
    </xf>
    <xf numFmtId="1" fontId="125" fillId="0" borderId="99" xfId="0" applyNumberFormat="1" applyFont="1" applyBorder="1" applyAlignment="1">
      <alignment vertical="top"/>
    </xf>
    <xf numFmtId="49" fontId="41" fillId="0" borderId="100" xfId="0" applyNumberFormat="1" applyFont="1" applyBorder="1" applyAlignment="1">
      <alignment vertical="top"/>
    </xf>
    <xf numFmtId="0" fontId="41" fillId="0" borderId="88" xfId="0" applyFont="1" applyBorder="1" applyAlignment="1">
      <alignment vertical="top" wrapText="1"/>
    </xf>
    <xf numFmtId="0" fontId="41" fillId="0" borderId="88" xfId="0" applyFont="1" applyBorder="1" applyAlignment="1">
      <alignment vertical="top"/>
    </xf>
    <xf numFmtId="183" fontId="41" fillId="0" borderId="88" xfId="0" applyNumberFormat="1" applyFont="1" applyBorder="1" applyAlignment="1">
      <alignment vertical="top"/>
    </xf>
    <xf numFmtId="190" fontId="41" fillId="0" borderId="88" xfId="0" applyNumberFormat="1" applyFont="1" applyBorder="1" applyAlignment="1">
      <alignment vertical="top"/>
    </xf>
    <xf numFmtId="184" fontId="41" fillId="0" borderId="88" xfId="0" applyNumberFormat="1" applyFont="1" applyBorder="1" applyAlignment="1">
      <alignment vertical="top"/>
    </xf>
    <xf numFmtId="1" fontId="41" fillId="0" borderId="101" xfId="0" applyNumberFormat="1" applyFont="1" applyBorder="1" applyAlignment="1">
      <alignment vertical="top"/>
    </xf>
    <xf numFmtId="49" fontId="125" fillId="0" borderId="100" xfId="0" applyNumberFormat="1" applyFont="1" applyBorder="1" applyAlignment="1">
      <alignment vertical="top"/>
    </xf>
    <xf numFmtId="0" fontId="125" fillId="0" borderId="88" xfId="0" applyFont="1" applyBorder="1" applyAlignment="1">
      <alignment vertical="top" wrapText="1"/>
    </xf>
    <xf numFmtId="0" fontId="125" fillId="0" borderId="88" xfId="0" applyFont="1" applyBorder="1" applyAlignment="1">
      <alignment vertical="top"/>
    </xf>
    <xf numFmtId="183" fontId="125" fillId="0" borderId="88" xfId="0" applyNumberFormat="1" applyFont="1" applyBorder="1" applyAlignment="1">
      <alignment vertical="top"/>
    </xf>
    <xf numFmtId="190" fontId="125" fillId="0" borderId="88" xfId="0" applyNumberFormat="1" applyFont="1" applyBorder="1" applyAlignment="1">
      <alignment vertical="top"/>
    </xf>
    <xf numFmtId="184" fontId="125" fillId="0" borderId="88" xfId="0" applyNumberFormat="1" applyFont="1" applyBorder="1" applyAlignment="1">
      <alignment vertical="top"/>
    </xf>
    <xf numFmtId="1" fontId="125" fillId="0" borderId="101" xfId="0" applyNumberFormat="1" applyFont="1" applyBorder="1" applyAlignment="1">
      <alignment vertical="top"/>
    </xf>
    <xf numFmtId="49" fontId="41" fillId="60" borderId="100" xfId="0" applyNumberFormat="1" applyFont="1" applyFill="1" applyBorder="1" applyAlignment="1">
      <alignment vertical="top"/>
    </xf>
    <xf numFmtId="0" fontId="41" fillId="60" borderId="88" xfId="0" applyFont="1" applyFill="1" applyBorder="1" applyAlignment="1">
      <alignment vertical="top" wrapText="1"/>
    </xf>
    <xf numFmtId="0" fontId="41" fillId="60" borderId="88" xfId="0" applyFont="1" applyFill="1" applyBorder="1" applyAlignment="1">
      <alignment vertical="top"/>
    </xf>
    <xf numFmtId="183" fontId="41" fillId="60" borderId="88" xfId="0" applyNumberFormat="1" applyFont="1" applyFill="1" applyBorder="1" applyAlignment="1">
      <alignment vertical="top"/>
    </xf>
    <xf numFmtId="190" fontId="41" fillId="60" borderId="88" xfId="0" applyNumberFormat="1" applyFont="1" applyFill="1" applyBorder="1" applyAlignment="1">
      <alignment vertical="top"/>
    </xf>
    <xf numFmtId="184" fontId="41" fillId="60" borderId="88" xfId="0" applyNumberFormat="1" applyFont="1" applyFill="1" applyBorder="1" applyAlignment="1">
      <alignment vertical="top"/>
    </xf>
    <xf numFmtId="49" fontId="41" fillId="61" borderId="100" xfId="0" applyNumberFormat="1" applyFont="1" applyFill="1" applyBorder="1" applyAlignment="1">
      <alignment vertical="top"/>
    </xf>
    <xf numFmtId="0" fontId="41" fillId="61" borderId="88" xfId="0" applyFont="1" applyFill="1" applyBorder="1" applyAlignment="1">
      <alignment vertical="top" wrapText="1"/>
    </xf>
    <xf numFmtId="0" fontId="41" fillId="61" borderId="88" xfId="0" applyFont="1" applyFill="1" applyBorder="1" applyAlignment="1">
      <alignment vertical="top"/>
    </xf>
    <xf numFmtId="183" fontId="41" fillId="61" borderId="88" xfId="0" applyNumberFormat="1" applyFont="1" applyFill="1" applyBorder="1" applyAlignment="1">
      <alignment vertical="top"/>
    </xf>
    <xf numFmtId="190" fontId="41" fillId="61" borderId="88" xfId="0" applyNumberFormat="1" applyFont="1" applyFill="1" applyBorder="1" applyAlignment="1">
      <alignment vertical="top"/>
    </xf>
    <xf numFmtId="184" fontId="41" fillId="61" borderId="88" xfId="0" applyNumberFormat="1" applyFont="1" applyFill="1" applyBorder="1" applyAlignment="1">
      <alignment vertical="top"/>
    </xf>
    <xf numFmtId="49" fontId="41" fillId="46" borderId="100" xfId="0" applyNumberFormat="1" applyFont="1" applyFill="1" applyBorder="1" applyAlignment="1">
      <alignment vertical="top"/>
    </xf>
    <xf numFmtId="0" fontId="41" fillId="46" borderId="88" xfId="0" applyFont="1" applyFill="1" applyBorder="1" applyAlignment="1">
      <alignment vertical="top" wrapText="1"/>
    </xf>
    <xf numFmtId="0" fontId="41" fillId="46" borderId="88" xfId="0" applyFont="1" applyFill="1" applyBorder="1" applyAlignment="1">
      <alignment vertical="top"/>
    </xf>
    <xf numFmtId="183" fontId="41" fillId="46" borderId="88" xfId="0" applyNumberFormat="1" applyFont="1" applyFill="1" applyBorder="1" applyAlignment="1">
      <alignment vertical="top"/>
    </xf>
    <xf numFmtId="190" fontId="41" fillId="46" borderId="88" xfId="0" applyNumberFormat="1" applyFont="1" applyFill="1" applyBorder="1" applyAlignment="1">
      <alignment vertical="top"/>
    </xf>
    <xf numFmtId="184" fontId="41" fillId="46" borderId="88" xfId="0" applyNumberFormat="1" applyFont="1" applyFill="1" applyBorder="1" applyAlignment="1">
      <alignment vertical="top"/>
    </xf>
    <xf numFmtId="49" fontId="41" fillId="58" borderId="100" xfId="0" applyNumberFormat="1" applyFont="1" applyFill="1" applyBorder="1" applyAlignment="1">
      <alignment vertical="top"/>
    </xf>
    <xf numFmtId="0" fontId="41" fillId="58" borderId="88" xfId="0" applyFont="1" applyFill="1" applyBorder="1" applyAlignment="1">
      <alignment vertical="top" wrapText="1"/>
    </xf>
    <xf numFmtId="0" fontId="41" fillId="58" borderId="88" xfId="0" applyFont="1" applyFill="1" applyBorder="1" applyAlignment="1">
      <alignment vertical="top"/>
    </xf>
    <xf numFmtId="183" fontId="41" fillId="58" borderId="88" xfId="0" applyNumberFormat="1" applyFont="1" applyFill="1" applyBorder="1" applyAlignment="1">
      <alignment vertical="top"/>
    </xf>
    <xf numFmtId="190" fontId="41" fillId="58" borderId="88" xfId="0" applyNumberFormat="1" applyFont="1" applyFill="1" applyBorder="1" applyAlignment="1">
      <alignment vertical="top"/>
    </xf>
    <xf numFmtId="184" fontId="41" fillId="58" borderId="88" xfId="0" applyNumberFormat="1" applyFont="1" applyFill="1" applyBorder="1" applyAlignment="1">
      <alignment vertical="top"/>
    </xf>
    <xf numFmtId="49" fontId="41" fillId="62" borderId="100" xfId="0" applyNumberFormat="1" applyFont="1" applyFill="1" applyBorder="1" applyAlignment="1">
      <alignment vertical="top"/>
    </xf>
    <xf numFmtId="0" fontId="41" fillId="62" borderId="88" xfId="0" applyFont="1" applyFill="1" applyBorder="1" applyAlignment="1">
      <alignment vertical="top" wrapText="1"/>
    </xf>
    <xf numFmtId="0" fontId="41" fillId="62" borderId="88" xfId="0" applyFont="1" applyFill="1" applyBorder="1" applyAlignment="1">
      <alignment vertical="top"/>
    </xf>
    <xf numFmtId="183" fontId="41" fillId="62" borderId="88" xfId="0" applyNumberFormat="1" applyFont="1" applyFill="1" applyBorder="1" applyAlignment="1">
      <alignment vertical="top"/>
    </xf>
    <xf numFmtId="190" fontId="41" fillId="62" borderId="88" xfId="0" applyNumberFormat="1" applyFont="1" applyFill="1" applyBorder="1" applyAlignment="1">
      <alignment vertical="top"/>
    </xf>
    <xf numFmtId="184" fontId="41" fillId="62" borderId="88" xfId="0" applyNumberFormat="1" applyFont="1" applyFill="1" applyBorder="1" applyAlignment="1">
      <alignment vertical="top"/>
    </xf>
    <xf numFmtId="49" fontId="41" fillId="63" borderId="100" xfId="0" applyNumberFormat="1" applyFont="1" applyFill="1" applyBorder="1" applyAlignment="1">
      <alignment vertical="top"/>
    </xf>
    <xf numFmtId="0" fontId="41" fillId="63" borderId="88" xfId="0" applyFont="1" applyFill="1" applyBorder="1" applyAlignment="1">
      <alignment vertical="top" wrapText="1"/>
    </xf>
    <xf numFmtId="0" fontId="41" fillId="63" borderId="88" xfId="0" applyFont="1" applyFill="1" applyBorder="1" applyAlignment="1">
      <alignment vertical="top"/>
    </xf>
    <xf numFmtId="183" fontId="41" fillId="63" borderId="88" xfId="0" applyNumberFormat="1" applyFont="1" applyFill="1" applyBorder="1" applyAlignment="1">
      <alignment vertical="top"/>
    </xf>
    <xf numFmtId="190" fontId="41" fillId="63" borderId="88" xfId="0" applyNumberFormat="1" applyFont="1" applyFill="1" applyBorder="1" applyAlignment="1">
      <alignment vertical="top"/>
    </xf>
    <xf numFmtId="184" fontId="41" fillId="63" borderId="88" xfId="0" applyNumberFormat="1" applyFont="1" applyFill="1" applyBorder="1" applyAlignment="1">
      <alignment vertical="top"/>
    </xf>
    <xf numFmtId="1" fontId="41" fillId="60" borderId="101" xfId="0" applyNumberFormat="1" applyFont="1" applyFill="1" applyBorder="1" applyAlignment="1">
      <alignment vertical="top"/>
    </xf>
    <xf numFmtId="0" fontId="20" fillId="60" borderId="0" xfId="0" applyFont="1" applyFill="1"/>
    <xf numFmtId="1" fontId="41" fillId="61" borderId="101" xfId="0" applyNumberFormat="1" applyFont="1" applyFill="1" applyBorder="1" applyAlignment="1">
      <alignment vertical="top"/>
    </xf>
    <xf numFmtId="0" fontId="20" fillId="61" borderId="0" xfId="0" applyFont="1" applyFill="1"/>
    <xf numFmtId="1" fontId="41" fillId="46" borderId="101" xfId="0" applyNumberFormat="1" applyFont="1" applyFill="1" applyBorder="1" applyAlignment="1">
      <alignment vertical="top"/>
    </xf>
    <xf numFmtId="0" fontId="20" fillId="46" borderId="0" xfId="0" applyFont="1" applyFill="1"/>
    <xf numFmtId="1" fontId="41" fillId="58" borderId="101" xfId="0" applyNumberFormat="1" applyFont="1" applyFill="1" applyBorder="1" applyAlignment="1">
      <alignment vertical="top"/>
    </xf>
    <xf numFmtId="0" fontId="20" fillId="58" borderId="0" xfId="0" applyFont="1" applyFill="1"/>
    <xf numFmtId="1" fontId="41" fillId="62" borderId="101" xfId="0" applyNumberFormat="1" applyFont="1" applyFill="1" applyBorder="1" applyAlignment="1">
      <alignment vertical="top"/>
    </xf>
    <xf numFmtId="0" fontId="20" fillId="62" borderId="0" xfId="0" applyFont="1" applyFill="1"/>
    <xf numFmtId="1" fontId="41" fillId="63" borderId="101" xfId="0" applyNumberFormat="1" applyFont="1" applyFill="1" applyBorder="1" applyAlignment="1">
      <alignment vertical="top"/>
    </xf>
    <xf numFmtId="0" fontId="20" fillId="63" borderId="0" xfId="0" applyFont="1" applyFill="1"/>
    <xf numFmtId="49" fontId="125" fillId="0" borderId="102" xfId="0" applyNumberFormat="1" applyFont="1" applyBorder="1" applyAlignment="1">
      <alignment vertical="top"/>
    </xf>
    <xf numFmtId="0" fontId="125" fillId="0" borderId="103" xfId="0" applyFont="1" applyBorder="1" applyAlignment="1">
      <alignment vertical="top" wrapText="1"/>
    </xf>
    <xf numFmtId="0" fontId="125" fillId="0" borderId="103" xfId="0" applyFont="1" applyBorder="1" applyAlignment="1">
      <alignment vertical="top"/>
    </xf>
    <xf numFmtId="183" fontId="125" fillId="0" borderId="103" xfId="0" applyNumberFormat="1" applyFont="1" applyBorder="1" applyAlignment="1">
      <alignment vertical="top"/>
    </xf>
    <xf numFmtId="190" fontId="125" fillId="0" borderId="103" xfId="0" applyNumberFormat="1" applyFont="1" applyBorder="1" applyAlignment="1">
      <alignment vertical="top"/>
    </xf>
    <xf numFmtId="184" fontId="125" fillId="0" borderId="103" xfId="0" applyNumberFormat="1" applyFont="1" applyBorder="1" applyAlignment="1">
      <alignment vertical="top"/>
    </xf>
    <xf numFmtId="1" fontId="125" fillId="0" borderId="104" xfId="0" applyNumberFormat="1" applyFont="1" applyBorder="1" applyAlignment="1">
      <alignment vertical="top"/>
    </xf>
    <xf numFmtId="0" fontId="109" fillId="56" borderId="0" xfId="0" applyFont="1" applyFill="1"/>
    <xf numFmtId="0" fontId="109" fillId="46" borderId="0" xfId="0" applyFont="1" applyFill="1"/>
    <xf numFmtId="0" fontId="109" fillId="58" borderId="0" xfId="0" applyFont="1" applyFill="1"/>
    <xf numFmtId="0" fontId="109" fillId="44" borderId="0" xfId="0" applyFont="1" applyFill="1"/>
    <xf numFmtId="49" fontId="41" fillId="64" borderId="100" xfId="0" applyNumberFormat="1" applyFont="1" applyFill="1" applyBorder="1" applyAlignment="1">
      <alignment vertical="top"/>
    </xf>
    <xf numFmtId="0" fontId="41" fillId="64" borderId="88" xfId="0" applyFont="1" applyFill="1" applyBorder="1" applyAlignment="1">
      <alignment vertical="top" wrapText="1"/>
    </xf>
    <xf numFmtId="0" fontId="41" fillId="64" borderId="88" xfId="0" applyFont="1" applyFill="1" applyBorder="1" applyAlignment="1">
      <alignment vertical="top"/>
    </xf>
    <xf numFmtId="183" fontId="41" fillId="64" borderId="88" xfId="0" applyNumberFormat="1" applyFont="1" applyFill="1" applyBorder="1" applyAlignment="1">
      <alignment vertical="top"/>
    </xf>
    <xf numFmtId="190" fontId="41" fillId="64" borderId="88" xfId="0" applyNumberFormat="1" applyFont="1" applyFill="1" applyBorder="1" applyAlignment="1">
      <alignment vertical="top"/>
    </xf>
    <xf numFmtId="184" fontId="41" fillId="64" borderId="88" xfId="0" applyNumberFormat="1" applyFont="1" applyFill="1" applyBorder="1" applyAlignment="1">
      <alignment vertical="top"/>
    </xf>
    <xf numFmtId="1" fontId="41" fillId="64" borderId="101" xfId="0" applyNumberFormat="1" applyFont="1" applyFill="1" applyBorder="1" applyAlignment="1">
      <alignment vertical="top"/>
    </xf>
    <xf numFmtId="0" fontId="20" fillId="64" borderId="0" xfId="0" applyFont="1" applyFill="1"/>
    <xf numFmtId="1" fontId="0" fillId="0" borderId="0" xfId="0" applyNumberFormat="1"/>
    <xf numFmtId="0" fontId="131" fillId="0" borderId="0" xfId="36"/>
    <xf numFmtId="22" fontId="131" fillId="0" borderId="0" xfId="36" applyNumberFormat="1"/>
    <xf numFmtId="14" fontId="131" fillId="0" borderId="0" xfId="36" applyNumberFormat="1"/>
    <xf numFmtId="43" fontId="4" fillId="0" borderId="0" xfId="0" applyNumberFormat="1" applyFont="1" applyAlignment="1">
      <alignment horizontal="center" vertical="center"/>
    </xf>
    <xf numFmtId="2" fontId="131" fillId="0" borderId="0" xfId="36" applyNumberFormat="1"/>
    <xf numFmtId="0" fontId="111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center" vertical="center" wrapText="1"/>
    </xf>
    <xf numFmtId="193" fontId="0" fillId="0" borderId="0" xfId="0" applyNumberFormat="1" applyAlignment="1">
      <alignment horizontal="right" wrapText="1"/>
    </xf>
    <xf numFmtId="0" fontId="106" fillId="50" borderId="0" xfId="0" applyFont="1" applyFill="1"/>
    <xf numFmtId="0" fontId="106" fillId="50" borderId="0" xfId="0" applyFont="1" applyFill="1" applyAlignment="1">
      <alignment wrapText="1"/>
    </xf>
    <xf numFmtId="0" fontId="106" fillId="50" borderId="0" xfId="0" applyFont="1" applyFill="1" applyAlignment="1">
      <alignment horizontal="center" vertical="center" wrapText="1"/>
    </xf>
    <xf numFmtId="14" fontId="106" fillId="50" borderId="0" xfId="0" applyNumberFormat="1" applyFont="1" applyFill="1" applyAlignment="1">
      <alignment horizontal="center" vertical="center" wrapText="1"/>
    </xf>
    <xf numFmtId="1" fontId="106" fillId="50" borderId="0" xfId="0" applyNumberFormat="1" applyFont="1" applyFill="1" applyAlignment="1">
      <alignment horizontal="center" vertical="center" wrapText="1"/>
    </xf>
    <xf numFmtId="193" fontId="106" fillId="50" borderId="0" xfId="0" applyNumberFormat="1" applyFont="1" applyFill="1" applyAlignment="1">
      <alignment horizontal="right" wrapText="1"/>
    </xf>
    <xf numFmtId="0" fontId="106" fillId="40" borderId="0" xfId="0" applyFont="1" applyFill="1"/>
    <xf numFmtId="0" fontId="106" fillId="40" borderId="0" xfId="0" applyFont="1" applyFill="1" applyAlignment="1">
      <alignment wrapText="1"/>
    </xf>
    <xf numFmtId="0" fontId="106" fillId="40" borderId="0" xfId="0" applyFont="1" applyFill="1" applyAlignment="1">
      <alignment horizontal="center" vertical="center" wrapText="1"/>
    </xf>
    <xf numFmtId="14" fontId="106" fillId="40" borderId="0" xfId="0" applyNumberFormat="1" applyFont="1" applyFill="1" applyAlignment="1">
      <alignment horizontal="center" vertical="center" wrapText="1"/>
    </xf>
    <xf numFmtId="1" fontId="106" fillId="40" borderId="0" xfId="0" applyNumberFormat="1" applyFont="1" applyFill="1" applyAlignment="1">
      <alignment horizontal="center" vertical="center" wrapText="1"/>
    </xf>
    <xf numFmtId="193" fontId="106" fillId="40" borderId="0" xfId="0" applyNumberFormat="1" applyFont="1" applyFill="1" applyAlignment="1">
      <alignment horizontal="right" wrapText="1"/>
    </xf>
    <xf numFmtId="0" fontId="106" fillId="66" borderId="0" xfId="0" applyFont="1" applyFill="1"/>
    <xf numFmtId="0" fontId="106" fillId="66" borderId="0" xfId="0" applyFont="1" applyFill="1" applyAlignment="1">
      <alignment wrapText="1"/>
    </xf>
    <xf numFmtId="0" fontId="106" fillId="66" borderId="0" xfId="0" applyFont="1" applyFill="1" applyAlignment="1">
      <alignment horizontal="center" vertical="center" wrapText="1"/>
    </xf>
    <xf numFmtId="14" fontId="106" fillId="66" borderId="0" xfId="0" applyNumberFormat="1" applyFont="1" applyFill="1" applyAlignment="1">
      <alignment horizontal="center" vertical="center" wrapText="1"/>
    </xf>
    <xf numFmtId="1" fontId="106" fillId="66" borderId="0" xfId="0" applyNumberFormat="1" applyFont="1" applyFill="1" applyAlignment="1">
      <alignment horizontal="center" vertical="center" wrapText="1"/>
    </xf>
    <xf numFmtId="193" fontId="106" fillId="66" borderId="0" xfId="0" applyNumberFormat="1" applyFont="1" applyFill="1" applyAlignment="1">
      <alignment horizontal="right" wrapText="1"/>
    </xf>
    <xf numFmtId="0" fontId="133" fillId="56" borderId="0" xfId="0" applyFont="1" applyFill="1"/>
    <xf numFmtId="0" fontId="133" fillId="56" borderId="0" xfId="0" applyFont="1" applyFill="1" applyAlignment="1">
      <alignment wrapText="1"/>
    </xf>
    <xf numFmtId="0" fontId="133" fillId="56" borderId="0" xfId="0" applyFont="1" applyFill="1" applyAlignment="1">
      <alignment horizontal="center" vertical="center" wrapText="1"/>
    </xf>
    <xf numFmtId="14" fontId="133" fillId="56" borderId="0" xfId="0" applyNumberFormat="1" applyFont="1" applyFill="1" applyAlignment="1">
      <alignment horizontal="center" vertical="center" wrapText="1"/>
    </xf>
    <xf numFmtId="1" fontId="133" fillId="56" borderId="0" xfId="0" applyNumberFormat="1" applyFont="1" applyFill="1" applyAlignment="1">
      <alignment horizontal="center" vertical="center" wrapText="1"/>
    </xf>
    <xf numFmtId="193" fontId="133" fillId="56" borderId="0" xfId="0" applyNumberFormat="1" applyFont="1" applyFill="1" applyAlignment="1">
      <alignment horizontal="right" wrapText="1"/>
    </xf>
    <xf numFmtId="0" fontId="133" fillId="67" borderId="0" xfId="0" applyFont="1" applyFill="1"/>
    <xf numFmtId="0" fontId="133" fillId="67" borderId="0" xfId="0" applyFont="1" applyFill="1" applyAlignment="1">
      <alignment wrapText="1"/>
    </xf>
    <xf numFmtId="0" fontId="133" fillId="67" borderId="0" xfId="0" applyFont="1" applyFill="1" applyAlignment="1">
      <alignment horizontal="center" vertical="center" wrapText="1"/>
    </xf>
    <xf numFmtId="14" fontId="133" fillId="67" borderId="0" xfId="0" applyNumberFormat="1" applyFont="1" applyFill="1" applyAlignment="1">
      <alignment horizontal="center" vertical="center" wrapText="1"/>
    </xf>
    <xf numFmtId="1" fontId="133" fillId="67" borderId="0" xfId="0" applyNumberFormat="1" applyFont="1" applyFill="1" applyAlignment="1">
      <alignment horizontal="center" vertical="center" wrapText="1"/>
    </xf>
    <xf numFmtId="193" fontId="133" fillId="67" borderId="0" xfId="0" applyNumberFormat="1" applyFont="1" applyFill="1" applyAlignment="1">
      <alignment horizontal="right" wrapText="1"/>
    </xf>
    <xf numFmtId="0" fontId="102" fillId="46" borderId="0" xfId="0" applyFont="1" applyFill="1" applyAlignment="1">
      <alignment horizontal="center"/>
    </xf>
    <xf numFmtId="194" fontId="109" fillId="0" borderId="0" xfId="0" applyNumberFormat="1" applyFont="1" applyAlignment="1">
      <alignment horizontal="center"/>
    </xf>
    <xf numFmtId="181" fontId="0" fillId="0" borderId="0" xfId="0" applyNumberFormat="1"/>
    <xf numFmtId="181" fontId="0" fillId="0" borderId="0" xfId="0" applyNumberFormat="1" applyAlignment="1">
      <alignment horizontal="center"/>
    </xf>
    <xf numFmtId="0" fontId="134" fillId="0" borderId="0" xfId="0" applyFont="1"/>
    <xf numFmtId="179" fontId="0" fillId="0" borderId="0" xfId="0" applyNumberFormat="1"/>
    <xf numFmtId="188" fontId="123" fillId="0" borderId="0" xfId="0" applyNumberFormat="1" applyFont="1" applyAlignment="1">
      <alignment horizontal="center"/>
    </xf>
    <xf numFmtId="181" fontId="106" fillId="50" borderId="0" xfId="0" applyNumberFormat="1" applyFont="1" applyFill="1" applyAlignment="1">
      <alignment horizontal="center"/>
    </xf>
    <xf numFmtId="188" fontId="110" fillId="50" borderId="0" xfId="0" applyNumberFormat="1" applyFont="1" applyFill="1" applyAlignment="1">
      <alignment horizontal="center"/>
    </xf>
    <xf numFmtId="181" fontId="106" fillId="40" borderId="0" xfId="0" applyNumberFormat="1" applyFont="1" applyFill="1" applyAlignment="1">
      <alignment horizontal="center"/>
    </xf>
    <xf numFmtId="188" fontId="110" fillId="40" borderId="0" xfId="0" applyNumberFormat="1" applyFont="1" applyFill="1" applyAlignment="1">
      <alignment horizontal="center"/>
    </xf>
    <xf numFmtId="181" fontId="106" fillId="66" borderId="0" xfId="0" applyNumberFormat="1" applyFont="1" applyFill="1" applyAlignment="1">
      <alignment horizontal="center"/>
    </xf>
    <xf numFmtId="188" fontId="110" fillId="66" borderId="0" xfId="0" applyNumberFormat="1" applyFont="1" applyFill="1" applyAlignment="1">
      <alignment horizontal="center"/>
    </xf>
    <xf numFmtId="181" fontId="133" fillId="56" borderId="0" xfId="0" applyNumberFormat="1" applyFont="1" applyFill="1" applyAlignment="1">
      <alignment horizontal="center"/>
    </xf>
    <xf numFmtId="188" fontId="135" fillId="56" borderId="0" xfId="0" applyNumberFormat="1" applyFont="1" applyFill="1" applyAlignment="1">
      <alignment horizontal="center"/>
    </xf>
    <xf numFmtId="181" fontId="133" fillId="67" borderId="0" xfId="0" applyNumberFormat="1" applyFont="1" applyFill="1" applyAlignment="1">
      <alignment horizontal="center"/>
    </xf>
    <xf numFmtId="188" fontId="135" fillId="67" borderId="0" xfId="0" applyNumberFormat="1" applyFont="1" applyFill="1" applyAlignment="1">
      <alignment horizontal="center"/>
    </xf>
    <xf numFmtId="188" fontId="109" fillId="56" borderId="0" xfId="0" applyNumberFormat="1" applyFont="1" applyFill="1"/>
    <xf numFmtId="188" fontId="109" fillId="46" borderId="0" xfId="0" applyNumberFormat="1" applyFont="1" applyFill="1"/>
    <xf numFmtId="169" fontId="109" fillId="44" borderId="0" xfId="0" applyNumberFormat="1" applyFont="1" applyFill="1"/>
    <xf numFmtId="0" fontId="102" fillId="46" borderId="0" xfId="0" applyFont="1" applyFill="1" applyAlignment="1">
      <alignment horizontal="center" wrapText="1"/>
    </xf>
    <xf numFmtId="0" fontId="109" fillId="56" borderId="0" xfId="0" applyFont="1" applyFill="1" applyAlignment="1">
      <alignment wrapText="1"/>
    </xf>
    <xf numFmtId="0" fontId="109" fillId="46" borderId="0" xfId="0" applyFont="1" applyFill="1" applyAlignment="1">
      <alignment wrapText="1"/>
    </xf>
    <xf numFmtId="0" fontId="109" fillId="58" borderId="0" xfId="0" applyFont="1" applyFill="1" applyAlignment="1">
      <alignment wrapText="1"/>
    </xf>
    <xf numFmtId="0" fontId="109" fillId="44" borderId="0" xfId="0" applyFont="1" applyFill="1" applyAlignment="1">
      <alignment wrapText="1"/>
    </xf>
    <xf numFmtId="0" fontId="110" fillId="50" borderId="0" xfId="0" applyFont="1" applyFill="1" applyAlignment="1">
      <alignment wrapText="1"/>
    </xf>
    <xf numFmtId="0" fontId="110" fillId="40" borderId="0" xfId="0" applyFont="1" applyFill="1" applyAlignment="1">
      <alignment wrapText="1"/>
    </xf>
    <xf numFmtId="0" fontId="110" fillId="66" borderId="0" xfId="0" applyFont="1" applyFill="1" applyAlignment="1">
      <alignment wrapText="1"/>
    </xf>
    <xf numFmtId="0" fontId="135" fillId="56" borderId="0" xfId="0" applyFont="1" applyFill="1" applyAlignment="1">
      <alignment wrapText="1"/>
    </xf>
    <xf numFmtId="0" fontId="134" fillId="0" borderId="0" xfId="0" applyFont="1" applyAlignment="1">
      <alignment wrapText="1"/>
    </xf>
    <xf numFmtId="0" fontId="135" fillId="67" borderId="0" xfId="0" applyFont="1" applyFill="1" applyAlignment="1">
      <alignment wrapText="1"/>
    </xf>
    <xf numFmtId="0" fontId="106" fillId="66" borderId="0" xfId="0" applyFont="1" applyFill="1" applyAlignment="1">
      <alignment horizontal="center" wrapText="1"/>
    </xf>
    <xf numFmtId="0" fontId="133" fillId="56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133" fillId="67" borderId="0" xfId="0" applyFont="1" applyFill="1" applyAlignment="1">
      <alignment horizontal="center" wrapText="1"/>
    </xf>
    <xf numFmtId="179" fontId="106" fillId="50" borderId="0" xfId="0" applyNumberFormat="1" applyFont="1" applyFill="1" applyAlignment="1">
      <alignment wrapText="1"/>
    </xf>
    <xf numFmtId="179" fontId="106" fillId="40" borderId="0" xfId="0" applyNumberFormat="1" applyFont="1" applyFill="1" applyAlignment="1">
      <alignment wrapText="1"/>
    </xf>
    <xf numFmtId="179" fontId="106" fillId="66" borderId="0" xfId="0" applyNumberFormat="1" applyFont="1" applyFill="1" applyAlignment="1">
      <alignment wrapText="1"/>
    </xf>
    <xf numFmtId="179" fontId="133" fillId="56" borderId="0" xfId="0" applyNumberFormat="1" applyFont="1" applyFill="1" applyAlignment="1">
      <alignment wrapText="1"/>
    </xf>
    <xf numFmtId="179" fontId="0" fillId="0" borderId="0" xfId="0" applyNumberFormat="1" applyAlignment="1">
      <alignment wrapText="1"/>
    </xf>
    <xf numFmtId="179" fontId="133" fillId="67" borderId="0" xfId="0" applyNumberFormat="1" applyFont="1" applyFill="1" applyAlignment="1">
      <alignment wrapText="1"/>
    </xf>
    <xf numFmtId="179" fontId="109" fillId="56" borderId="0" xfId="0" applyNumberFormat="1" applyFont="1" applyFill="1" applyAlignment="1">
      <alignment wrapText="1"/>
    </xf>
    <xf numFmtId="179" fontId="109" fillId="46" borderId="0" xfId="0" applyNumberFormat="1" applyFont="1" applyFill="1" applyAlignment="1">
      <alignment wrapText="1"/>
    </xf>
    <xf numFmtId="0" fontId="58" fillId="0" borderId="0" xfId="0" applyFont="1" applyAlignment="1">
      <alignment wrapText="1"/>
    </xf>
    <xf numFmtId="194" fontId="109" fillId="21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7" fillId="50" borderId="0" xfId="0" applyFont="1" applyFill="1"/>
    <xf numFmtId="0" fontId="137" fillId="50" borderId="0" xfId="0" applyFont="1" applyFill="1" applyAlignment="1">
      <alignment horizontal="center"/>
    </xf>
    <xf numFmtId="0" fontId="139" fillId="0" borderId="0" xfId="0" applyFont="1"/>
    <xf numFmtId="0" fontId="139" fillId="0" borderId="0" xfId="0" applyFont="1" applyAlignment="1">
      <alignment wrapText="1"/>
    </xf>
    <xf numFmtId="181" fontId="139" fillId="0" borderId="0" xfId="0" applyNumberFormat="1" applyFont="1" applyAlignment="1">
      <alignment horizontal="center"/>
    </xf>
    <xf numFmtId="179" fontId="139" fillId="0" borderId="0" xfId="0" applyNumberFormat="1" applyFont="1" applyAlignment="1">
      <alignment wrapText="1"/>
    </xf>
    <xf numFmtId="188" fontId="139" fillId="0" borderId="0" xfId="0" applyNumberFormat="1" applyFont="1" applyAlignment="1">
      <alignment horizontal="center"/>
    </xf>
    <xf numFmtId="195" fontId="139" fillId="0" borderId="0" xfId="0" applyNumberFormat="1" applyFont="1" applyAlignment="1">
      <alignment wrapText="1"/>
    </xf>
    <xf numFmtId="195" fontId="0" fillId="0" borderId="0" xfId="0" applyNumberFormat="1"/>
    <xf numFmtId="0" fontId="3" fillId="46" borderId="0" xfId="0" applyFont="1" applyFill="1"/>
    <xf numFmtId="179" fontId="3" fillId="46" borderId="0" xfId="0" applyNumberFormat="1" applyFont="1" applyFill="1"/>
    <xf numFmtId="195" fontId="3" fillId="46" borderId="0" xfId="0" applyNumberFormat="1" applyFont="1" applyFill="1"/>
    <xf numFmtId="0" fontId="140" fillId="0" borderId="0" xfId="0" applyFont="1" applyAlignment="1">
      <alignment wrapText="1" indent="3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197" fontId="5" fillId="0" borderId="0" xfId="0" applyNumberFormat="1" applyFont="1"/>
    <xf numFmtId="0" fontId="120" fillId="0" borderId="0" xfId="0" applyFont="1"/>
    <xf numFmtId="9" fontId="120" fillId="0" borderId="0" xfId="0" applyNumberFormat="1" applyFont="1"/>
    <xf numFmtId="185" fontId="3" fillId="46" borderId="0" xfId="0" applyNumberFormat="1" applyFont="1" applyFill="1"/>
    <xf numFmtId="0" fontId="138" fillId="0" borderId="0" xfId="0" applyFont="1"/>
    <xf numFmtId="196" fontId="138" fillId="0" borderId="0" xfId="0" applyNumberFormat="1" applyFont="1"/>
    <xf numFmtId="198" fontId="138" fillId="0" borderId="0" xfId="0" applyNumberFormat="1" applyFont="1"/>
    <xf numFmtId="0" fontId="58" fillId="46" borderId="0" xfId="0" applyFont="1" applyFill="1"/>
    <xf numFmtId="185" fontId="58" fillId="46" borderId="0" xfId="0" applyNumberFormat="1" applyFont="1" applyFill="1"/>
    <xf numFmtId="195" fontId="138" fillId="0" borderId="0" xfId="0" applyNumberFormat="1" applyFont="1"/>
    <xf numFmtId="179" fontId="138" fillId="0" borderId="0" xfId="0" applyNumberFormat="1" applyFont="1"/>
    <xf numFmtId="0" fontId="3" fillId="56" borderId="0" xfId="0" applyFont="1" applyFill="1"/>
    <xf numFmtId="185" fontId="3" fillId="56" borderId="0" xfId="0" applyNumberFormat="1" applyFont="1" applyFill="1"/>
    <xf numFmtId="0" fontId="142" fillId="0" borderId="0" xfId="0" applyFont="1" applyAlignment="1">
      <alignment horizontal="left" wrapText="1"/>
    </xf>
    <xf numFmtId="185" fontId="141" fillId="0" borderId="0" xfId="0" applyNumberFormat="1" applyFont="1"/>
    <xf numFmtId="185" fontId="142" fillId="0" borderId="0" xfId="0" applyNumberFormat="1" applyFont="1"/>
    <xf numFmtId="0" fontId="58" fillId="44" borderId="0" xfId="0" applyFont="1" applyFill="1"/>
    <xf numFmtId="198" fontId="58" fillId="44" borderId="0" xfId="0" applyNumberFormat="1" applyFont="1" applyFill="1"/>
    <xf numFmtId="0" fontId="1" fillId="23" borderId="0" xfId="37" applyFill="1"/>
    <xf numFmtId="0" fontId="1" fillId="0" borderId="0" xfId="37"/>
    <xf numFmtId="0" fontId="144" fillId="0" borderId="108" xfId="37" applyFont="1" applyBorder="1"/>
    <xf numFmtId="0" fontId="144" fillId="0" borderId="108" xfId="37" applyFont="1" applyBorder="1" applyAlignment="1">
      <alignment horizontal="center" vertical="center"/>
    </xf>
    <xf numFmtId="199" fontId="1" fillId="0" borderId="0" xfId="37" applyNumberFormat="1"/>
    <xf numFmtId="0" fontId="1" fillId="23" borderId="39" xfId="37" applyFill="1" applyBorder="1" applyAlignment="1">
      <alignment horizontal="center"/>
    </xf>
    <xf numFmtId="0" fontId="145" fillId="23" borderId="40" xfId="37" applyFont="1" applyFill="1" applyBorder="1" applyAlignment="1">
      <alignment horizontal="center"/>
    </xf>
    <xf numFmtId="0" fontId="144" fillId="0" borderId="111" xfId="37" applyFont="1" applyBorder="1"/>
    <xf numFmtId="0" fontId="144" fillId="0" borderId="111" xfId="37" applyFont="1" applyBorder="1" applyAlignment="1">
      <alignment horizontal="center" vertical="center"/>
    </xf>
    <xf numFmtId="0" fontId="146" fillId="23" borderId="39" xfId="37" applyFont="1" applyFill="1" applyBorder="1" applyAlignment="1">
      <alignment horizontal="right"/>
    </xf>
    <xf numFmtId="0" fontId="146" fillId="23" borderId="0" xfId="37" applyFont="1" applyFill="1" applyAlignment="1">
      <alignment horizontal="right"/>
    </xf>
    <xf numFmtId="0" fontId="66" fillId="23" borderId="0" xfId="37" applyFont="1" applyFill="1" applyAlignment="1">
      <alignment horizontal="left"/>
    </xf>
    <xf numFmtId="0" fontId="147" fillId="23" borderId="0" xfId="37" applyFont="1" applyFill="1" applyAlignment="1">
      <alignment vertical="top" wrapText="1"/>
    </xf>
    <xf numFmtId="0" fontId="1" fillId="23" borderId="40" xfId="37" applyFill="1" applyBorder="1"/>
    <xf numFmtId="0" fontId="148" fillId="0" borderId="112" xfId="37" applyFont="1" applyBorder="1" applyAlignment="1">
      <alignment horizontal="center" vertical="center"/>
    </xf>
    <xf numFmtId="200" fontId="148" fillId="23" borderId="112" xfId="37" applyNumberFormat="1" applyFont="1" applyFill="1" applyBorder="1" applyAlignment="1">
      <alignment horizontal="center" vertical="center"/>
    </xf>
    <xf numFmtId="0" fontId="66" fillId="23" borderId="0" xfId="37" applyFont="1" applyFill="1"/>
    <xf numFmtId="0" fontId="149" fillId="23" borderId="112" xfId="37" applyFont="1" applyFill="1" applyBorder="1" applyAlignment="1">
      <alignment horizontal="center" vertical="center"/>
    </xf>
    <xf numFmtId="0" fontId="1" fillId="23" borderId="39" xfId="37" applyFill="1" applyBorder="1" applyAlignment="1">
      <alignment horizontal="right"/>
    </xf>
    <xf numFmtId="0" fontId="1" fillId="23" borderId="0" xfId="37" applyFill="1" applyAlignment="1">
      <alignment horizontal="right"/>
    </xf>
    <xf numFmtId="0" fontId="1" fillId="23" borderId="0" xfId="37" applyFill="1" applyAlignment="1">
      <alignment horizontal="left"/>
    </xf>
    <xf numFmtId="0" fontId="66" fillId="23" borderId="0" xfId="37" applyFont="1" applyFill="1" applyAlignment="1">
      <alignment horizontal="right"/>
    </xf>
    <xf numFmtId="14" fontId="66" fillId="23" borderId="0" xfId="37" applyNumberFormat="1" applyFont="1" applyFill="1" applyAlignment="1">
      <alignment horizontal="left"/>
    </xf>
    <xf numFmtId="0" fontId="66" fillId="23" borderId="0" xfId="37" applyFont="1" applyFill="1" applyAlignment="1">
      <alignment horizontal="center"/>
    </xf>
    <xf numFmtId="0" fontId="66" fillId="23" borderId="39" xfId="37" applyFont="1" applyFill="1" applyBorder="1"/>
    <xf numFmtId="15" fontId="150" fillId="0" borderId="17" xfId="38" applyNumberFormat="1" applyFont="1" applyBorder="1" applyAlignment="1">
      <alignment horizontal="center" vertical="center"/>
    </xf>
    <xf numFmtId="0" fontId="150" fillId="0" borderId="17" xfId="38" applyFont="1" applyBorder="1" applyAlignment="1">
      <alignment horizontal="center" vertical="center"/>
    </xf>
    <xf numFmtId="199" fontId="148" fillId="23" borderId="112" xfId="37" applyNumberFormat="1" applyFont="1" applyFill="1" applyBorder="1" applyAlignment="1">
      <alignment horizontal="center" vertical="center"/>
    </xf>
    <xf numFmtId="0" fontId="1" fillId="23" borderId="39" xfId="37" applyFill="1" applyBorder="1"/>
    <xf numFmtId="0" fontId="151" fillId="0" borderId="17" xfId="38" applyFont="1" applyBorder="1" applyAlignment="1">
      <alignment horizontal="center" vertical="center"/>
    </xf>
    <xf numFmtId="0" fontId="151" fillId="0" borderId="17" xfId="38" applyFont="1" applyBorder="1" applyAlignment="1">
      <alignment horizontal="center" vertical="center" wrapText="1"/>
    </xf>
    <xf numFmtId="0" fontId="1" fillId="23" borderId="41" xfId="37" applyFill="1" applyBorder="1"/>
    <xf numFmtId="0" fontId="1" fillId="23" borderId="42" xfId="37" applyFill="1" applyBorder="1"/>
    <xf numFmtId="0" fontId="1" fillId="23" borderId="43" xfId="37" applyFill="1" applyBorder="1"/>
    <xf numFmtId="0" fontId="153" fillId="8" borderId="0" xfId="39" applyFont="1" applyFill="1" applyAlignment="1">
      <alignment vertical="center"/>
    </xf>
    <xf numFmtId="0" fontId="154" fillId="8" borderId="0" xfId="39" applyFont="1" applyFill="1" applyAlignment="1">
      <alignment horizontal="left" vertical="center"/>
    </xf>
    <xf numFmtId="0" fontId="154" fillId="8" borderId="0" xfId="39" applyFont="1" applyFill="1" applyAlignment="1">
      <alignment vertical="center"/>
    </xf>
    <xf numFmtId="0" fontId="150" fillId="23" borderId="0" xfId="40" applyFill="1"/>
    <xf numFmtId="0" fontId="4" fillId="23" borderId="0" xfId="41" applyFill="1"/>
    <xf numFmtId="192" fontId="7" fillId="23" borderId="0" xfId="42" applyNumberFormat="1" applyFont="1" applyFill="1" applyAlignment="1">
      <alignment horizontal="right" vertical="center"/>
    </xf>
    <xf numFmtId="0" fontId="3" fillId="23" borderId="0" xfId="41" applyFont="1" applyFill="1"/>
    <xf numFmtId="0" fontId="155" fillId="23" borderId="0" xfId="41" applyFont="1" applyFill="1" applyAlignment="1">
      <alignment vertical="center"/>
    </xf>
    <xf numFmtId="10" fontId="4" fillId="23" borderId="0" xfId="41" applyNumberFormat="1" applyFill="1"/>
    <xf numFmtId="169" fontId="4" fillId="23" borderId="0" xfId="41" applyNumberFormat="1" applyFill="1" applyAlignment="1">
      <alignment horizontal="center"/>
    </xf>
    <xf numFmtId="10" fontId="1" fillId="23" borderId="0" xfId="37" applyNumberFormat="1" applyFill="1"/>
    <xf numFmtId="10" fontId="159" fillId="23" borderId="0" xfId="41" applyNumberFormat="1" applyFont="1" applyFill="1" applyAlignment="1">
      <alignment horizontal="center" vertical="center"/>
    </xf>
    <xf numFmtId="1" fontId="4" fillId="23" borderId="0" xfId="41" applyNumberFormat="1" applyFill="1" applyAlignment="1">
      <alignment horizontal="center"/>
    </xf>
    <xf numFmtId="2" fontId="4" fillId="23" borderId="0" xfId="41" applyNumberFormat="1" applyFill="1"/>
    <xf numFmtId="0" fontId="157" fillId="33" borderId="36" xfId="41" applyFont="1" applyFill="1" applyBorder="1"/>
    <xf numFmtId="0" fontId="4" fillId="33" borderId="37" xfId="41" applyFill="1" applyBorder="1"/>
    <xf numFmtId="0" fontId="4" fillId="6" borderId="37" xfId="41" applyFill="1" applyBorder="1"/>
    <xf numFmtId="0" fontId="4" fillId="6" borderId="38" xfId="41" applyFill="1" applyBorder="1"/>
    <xf numFmtId="0" fontId="160" fillId="6" borderId="39" xfId="41" applyFont="1" applyFill="1" applyBorder="1"/>
    <xf numFmtId="0" fontId="160" fillId="6" borderId="0" xfId="41" applyFont="1" applyFill="1"/>
    <xf numFmtId="0" fontId="4" fillId="6" borderId="0" xfId="41" applyFill="1"/>
    <xf numFmtId="0" fontId="160" fillId="6" borderId="0" xfId="41" applyFont="1" applyFill="1" applyAlignment="1">
      <alignment horizontal="center"/>
    </xf>
    <xf numFmtId="0" fontId="160" fillId="6" borderId="0" xfId="41" applyFont="1" applyFill="1" applyAlignment="1">
      <alignment horizontal="left"/>
    </xf>
    <xf numFmtId="0" fontId="160" fillId="6" borderId="40" xfId="41" applyFont="1" applyFill="1" applyBorder="1" applyAlignment="1">
      <alignment horizontal="center"/>
    </xf>
    <xf numFmtId="0" fontId="160" fillId="6" borderId="57" xfId="41" applyFont="1" applyFill="1" applyBorder="1"/>
    <xf numFmtId="0" fontId="160" fillId="6" borderId="13" xfId="41" applyFont="1" applyFill="1" applyBorder="1"/>
    <xf numFmtId="0" fontId="4" fillId="6" borderId="13" xfId="41" applyFill="1" applyBorder="1"/>
    <xf numFmtId="0" fontId="160" fillId="6" borderId="13" xfId="41" applyFont="1" applyFill="1" applyBorder="1" applyAlignment="1">
      <alignment horizontal="center"/>
    </xf>
    <xf numFmtId="0" fontId="160" fillId="6" borderId="13" xfId="41" applyFont="1" applyFill="1" applyBorder="1" applyAlignment="1">
      <alignment horizontal="left"/>
    </xf>
    <xf numFmtId="0" fontId="160" fillId="6" borderId="58" xfId="41" applyFont="1" applyFill="1" applyBorder="1" applyAlignment="1">
      <alignment horizontal="center"/>
    </xf>
    <xf numFmtId="0" fontId="157" fillId="33" borderId="61" xfId="41" applyFont="1" applyFill="1" applyBorder="1"/>
    <xf numFmtId="0" fontId="4" fillId="33" borderId="11" xfId="41" applyFill="1" applyBorder="1"/>
    <xf numFmtId="0" fontId="4" fillId="6" borderId="11" xfId="41" applyFill="1" applyBorder="1"/>
    <xf numFmtId="0" fontId="4" fillId="6" borderId="62" xfId="41" applyFill="1" applyBorder="1"/>
    <xf numFmtId="169" fontId="160" fillId="6" borderId="40" xfId="43" applyNumberFormat="1" applyFont="1" applyFill="1" applyBorder="1" applyAlignment="1">
      <alignment horizontal="center"/>
    </xf>
    <xf numFmtId="0" fontId="160" fillId="6" borderId="41" xfId="41" applyFont="1" applyFill="1" applyBorder="1"/>
    <xf numFmtId="0" fontId="4" fillId="6" borderId="42" xfId="41" applyFill="1" applyBorder="1"/>
    <xf numFmtId="0" fontId="160" fillId="6" borderId="42" xfId="41" applyFont="1" applyFill="1" applyBorder="1" applyAlignment="1">
      <alignment horizontal="center"/>
    </xf>
    <xf numFmtId="0" fontId="160" fillId="6" borderId="42" xfId="41" applyFont="1" applyFill="1" applyBorder="1"/>
    <xf numFmtId="0" fontId="4" fillId="6" borderId="43" xfId="41" applyFill="1" applyBorder="1"/>
    <xf numFmtId="0" fontId="157" fillId="0" borderId="72" xfId="41" applyFont="1" applyBorder="1" applyAlignment="1">
      <alignment horizontal="left" vertical="center" indent="1"/>
    </xf>
    <xf numFmtId="0" fontId="3" fillId="0" borderId="17" xfId="41" applyFont="1" applyBorder="1"/>
    <xf numFmtId="0" fontId="4" fillId="0" borderId="73" xfId="41" applyBorder="1"/>
    <xf numFmtId="0" fontId="158" fillId="23" borderId="0" xfId="41" applyFont="1" applyFill="1" applyAlignment="1">
      <alignment horizontal="center" vertical="center" wrapText="1"/>
    </xf>
    <xf numFmtId="169" fontId="158" fillId="23" borderId="0" xfId="41" applyNumberFormat="1" applyFont="1" applyFill="1" applyAlignment="1">
      <alignment horizontal="center" vertical="center"/>
    </xf>
    <xf numFmtId="10" fontId="158" fillId="23" borderId="0" xfId="41" applyNumberFormat="1" applyFont="1" applyFill="1" applyAlignment="1">
      <alignment horizontal="center" vertical="center"/>
    </xf>
    <xf numFmtId="10" fontId="159" fillId="23" borderId="0" xfId="43" applyNumberFormat="1" applyFont="1" applyFill="1" applyBorder="1" applyAlignment="1">
      <alignment horizontal="center" vertical="center"/>
    </xf>
    <xf numFmtId="0" fontId="162" fillId="23" borderId="0" xfId="40" applyFont="1" applyFill="1"/>
    <xf numFmtId="0" fontId="155" fillId="16" borderId="0" xfId="41" applyFont="1" applyFill="1" applyAlignment="1">
      <alignment vertical="center"/>
    </xf>
    <xf numFmtId="0" fontId="3" fillId="16" borderId="0" xfId="41" applyFont="1" applyFill="1"/>
    <xf numFmtId="0" fontId="4" fillId="16" borderId="0" xfId="41" applyFill="1"/>
    <xf numFmtId="0" fontId="164" fillId="23" borderId="0" xfId="41" applyFont="1" applyFill="1" applyAlignment="1">
      <alignment vertical="center"/>
    </xf>
    <xf numFmtId="3" fontId="4" fillId="23" borderId="0" xfId="41" applyNumberFormat="1" applyFill="1"/>
    <xf numFmtId="1" fontId="4" fillId="23" borderId="0" xfId="41" applyNumberFormat="1" applyFill="1" applyAlignment="1">
      <alignment horizontal="right"/>
    </xf>
    <xf numFmtId="2" fontId="4" fillId="23" borderId="0" xfId="41" applyNumberFormat="1" applyFill="1" applyAlignment="1">
      <alignment horizontal="right"/>
    </xf>
    <xf numFmtId="0" fontId="154" fillId="23" borderId="0" xfId="41" applyFont="1" applyFill="1"/>
    <xf numFmtId="0" fontId="130" fillId="23" borderId="0" xfId="44" applyFont="1" applyFill="1"/>
    <xf numFmtId="0" fontId="1" fillId="23" borderId="0" xfId="44" applyFill="1"/>
    <xf numFmtId="0" fontId="154" fillId="23" borderId="0" xfId="44" applyFont="1" applyFill="1"/>
    <xf numFmtId="1" fontId="154" fillId="23" borderId="0" xfId="44" applyNumberFormat="1" applyFont="1" applyFill="1" applyAlignment="1">
      <alignment horizontal="center" vertical="center"/>
    </xf>
    <xf numFmtId="10" fontId="154" fillId="23" borderId="0" xfId="44" applyNumberFormat="1" applyFont="1" applyFill="1" applyAlignment="1">
      <alignment horizontal="center" vertical="center"/>
    </xf>
    <xf numFmtId="1" fontId="154" fillId="23" borderId="0" xfId="44" applyNumberFormat="1" applyFont="1" applyFill="1" applyAlignment="1">
      <alignment horizontal="center"/>
    </xf>
    <xf numFmtId="0" fontId="154" fillId="23" borderId="0" xfId="44" applyFont="1" applyFill="1" applyAlignment="1">
      <alignment horizontal="center"/>
    </xf>
    <xf numFmtId="0" fontId="154" fillId="23" borderId="0" xfId="44" applyFont="1" applyFill="1" applyAlignment="1">
      <alignment horizontal="center" vertical="center"/>
    </xf>
    <xf numFmtId="0" fontId="166" fillId="23" borderId="0" xfId="44" applyFont="1" applyFill="1"/>
    <xf numFmtId="0" fontId="167" fillId="23" borderId="0" xfId="41" applyFont="1" applyFill="1"/>
    <xf numFmtId="0" fontId="51" fillId="23" borderId="0" xfId="44" applyFont="1" applyFill="1"/>
    <xf numFmtId="1" fontId="51" fillId="23" borderId="0" xfId="44" applyNumberFormat="1" applyFont="1" applyFill="1" applyAlignment="1">
      <alignment horizontal="center" vertical="center"/>
    </xf>
    <xf numFmtId="10" fontId="51" fillId="23" borderId="0" xfId="44" applyNumberFormat="1" applyFont="1" applyFill="1" applyAlignment="1">
      <alignment horizontal="center" vertical="center"/>
    </xf>
    <xf numFmtId="0" fontId="51" fillId="23" borderId="0" xfId="44" applyFont="1" applyFill="1" applyAlignment="1">
      <alignment horizontal="center"/>
    </xf>
    <xf numFmtId="1" fontId="51" fillId="23" borderId="0" xfId="44" applyNumberFormat="1" applyFont="1" applyFill="1" applyAlignment="1">
      <alignment horizontal="center"/>
    </xf>
    <xf numFmtId="0" fontId="169" fillId="23" borderId="0" xfId="44" applyFont="1" applyFill="1"/>
    <xf numFmtId="0" fontId="155" fillId="0" borderId="0" xfId="41" applyFont="1" applyAlignment="1">
      <alignment vertical="center"/>
    </xf>
    <xf numFmtId="201" fontId="70" fillId="23" borderId="0" xfId="41" applyNumberFormat="1" applyFont="1" applyFill="1" applyAlignment="1">
      <alignment vertical="center"/>
    </xf>
    <xf numFmtId="0" fontId="170" fillId="23" borderId="0" xfId="37" applyFont="1" applyFill="1" applyAlignment="1">
      <alignment vertical="top" wrapText="1"/>
    </xf>
    <xf numFmtId="201" fontId="70" fillId="23" borderId="0" xfId="41" applyNumberFormat="1" applyFont="1" applyFill="1" applyAlignment="1">
      <alignment vertical="center" wrapText="1"/>
    </xf>
    <xf numFmtId="0" fontId="4" fillId="6" borderId="0" xfId="41" applyFill="1" applyAlignment="1">
      <alignment horizontal="left" vertical="center"/>
    </xf>
    <xf numFmtId="0" fontId="70" fillId="23" borderId="0" xfId="41" applyFont="1" applyFill="1"/>
    <xf numFmtId="202" fontId="3" fillId="9" borderId="17" xfId="37" applyNumberFormat="1" applyFont="1" applyFill="1" applyBorder="1" applyAlignment="1">
      <alignment horizontal="center" vertical="center"/>
    </xf>
    <xf numFmtId="0" fontId="169" fillId="0" borderId="0" xfId="44" applyFont="1"/>
    <xf numFmtId="1" fontId="154" fillId="0" borderId="0" xfId="44" applyNumberFormat="1" applyFont="1" applyAlignment="1">
      <alignment horizontal="center" vertical="center"/>
    </xf>
    <xf numFmtId="10" fontId="154" fillId="0" borderId="0" xfId="44" applyNumberFormat="1" applyFont="1" applyAlignment="1">
      <alignment horizontal="center" vertical="center"/>
    </xf>
    <xf numFmtId="0" fontId="154" fillId="0" borderId="0" xfId="44" applyFont="1"/>
    <xf numFmtId="0" fontId="4" fillId="0" borderId="0" xfId="41"/>
    <xf numFmtId="0" fontId="157" fillId="0" borderId="0" xfId="44" applyFont="1"/>
    <xf numFmtId="0" fontId="51" fillId="0" borderId="17" xfId="44" applyFont="1" applyBorder="1" applyAlignment="1">
      <alignment horizontal="center" vertical="center"/>
    </xf>
    <xf numFmtId="1" fontId="51" fillId="0" borderId="17" xfId="44" applyNumberFormat="1" applyFont="1" applyBorder="1" applyAlignment="1">
      <alignment horizontal="center" vertical="center"/>
    </xf>
    <xf numFmtId="10" fontId="51" fillId="0" borderId="17" xfId="44" applyNumberFormat="1" applyFont="1" applyBorder="1" applyAlignment="1">
      <alignment horizontal="center" vertical="center"/>
    </xf>
    <xf numFmtId="1" fontId="154" fillId="68" borderId="17" xfId="44" applyNumberFormat="1" applyFont="1" applyFill="1" applyBorder="1" applyAlignment="1">
      <alignment horizontal="center" vertical="center"/>
    </xf>
    <xf numFmtId="10" fontId="154" fillId="68" borderId="17" xfId="44" applyNumberFormat="1" applyFont="1" applyFill="1" applyBorder="1" applyAlignment="1">
      <alignment horizontal="center" vertical="center"/>
    </xf>
    <xf numFmtId="0" fontId="1" fillId="0" borderId="0" xfId="37" applyAlignment="1">
      <alignment horizontal="left"/>
    </xf>
    <xf numFmtId="10" fontId="73" fillId="0" borderId="0" xfId="37" applyNumberFormat="1" applyFont="1" applyAlignment="1">
      <alignment horizontal="left"/>
    </xf>
    <xf numFmtId="4" fontId="171" fillId="0" borderId="0" xfId="37" applyNumberFormat="1" applyFont="1"/>
    <xf numFmtId="4" fontId="1" fillId="0" borderId="0" xfId="37" applyNumberFormat="1" applyAlignment="1">
      <alignment horizontal="center"/>
    </xf>
    <xf numFmtId="10" fontId="1" fillId="0" borderId="0" xfId="37" applyNumberFormat="1" applyAlignment="1">
      <alignment horizontal="center" vertical="center"/>
    </xf>
    <xf numFmtId="0" fontId="172" fillId="0" borderId="0" xfId="37" applyFont="1"/>
    <xf numFmtId="0" fontId="68" fillId="0" borderId="0" xfId="37" applyFont="1" applyAlignment="1">
      <alignment horizontal="left" vertical="center"/>
    </xf>
    <xf numFmtId="0" fontId="68" fillId="0" borderId="0" xfId="37" applyFont="1" applyAlignment="1">
      <alignment vertical="center" wrapText="1"/>
    </xf>
    <xf numFmtId="4" fontId="68" fillId="0" borderId="0" xfId="37" applyNumberFormat="1" applyFont="1" applyAlignment="1">
      <alignment horizontal="center" vertical="center" wrapText="1"/>
    </xf>
    <xf numFmtId="0" fontId="66" fillId="0" borderId="0" xfId="37" applyFont="1"/>
    <xf numFmtId="2" fontId="5" fillId="0" borderId="120" xfId="45" applyNumberFormat="1" applyFont="1" applyBorder="1" applyAlignment="1">
      <alignment horizontal="left" vertical="center" wrapText="1" shrinkToFit="1"/>
    </xf>
    <xf numFmtId="10" fontId="178" fillId="23" borderId="120" xfId="46" applyNumberFormat="1" applyFont="1" applyFill="1" applyBorder="1" applyAlignment="1">
      <alignment horizontal="center" wrapText="1"/>
    </xf>
    <xf numFmtId="0" fontId="73" fillId="0" borderId="0" xfId="37" applyFont="1" applyAlignment="1">
      <alignment horizontal="left"/>
    </xf>
    <xf numFmtId="2" fontId="1" fillId="0" borderId="0" xfId="37" applyNumberFormat="1" applyAlignment="1">
      <alignment horizontal="center" vertical="center"/>
    </xf>
    <xf numFmtId="0" fontId="68" fillId="0" borderId="0" xfId="37" applyFont="1" applyAlignment="1">
      <alignment horizontal="center" vertical="center"/>
    </xf>
    <xf numFmtId="2" fontId="68" fillId="0" borderId="0" xfId="37" applyNumberFormat="1" applyFont="1" applyAlignment="1">
      <alignment vertical="center" wrapText="1"/>
    </xf>
    <xf numFmtId="10" fontId="5" fillId="0" borderId="120" xfId="3" applyNumberFormat="1" applyFont="1" applyBorder="1" applyAlignment="1">
      <alignment horizontal="center" vertical="center" wrapText="1"/>
    </xf>
    <xf numFmtId="4" fontId="1" fillId="0" borderId="0" xfId="37" applyNumberFormat="1"/>
    <xf numFmtId="0" fontId="180" fillId="0" borderId="0" xfId="37" applyFont="1"/>
    <xf numFmtId="0" fontId="181" fillId="0" borderId="42" xfId="37" applyFont="1" applyBorder="1" applyAlignment="1">
      <alignment horizontal="left" vertical="center"/>
    </xf>
    <xf numFmtId="0" fontId="181" fillId="0" borderId="0" xfId="37" applyFont="1" applyAlignment="1">
      <alignment vertical="center"/>
    </xf>
    <xf numFmtId="178" fontId="181" fillId="0" borderId="0" xfId="37" applyNumberFormat="1" applyFont="1" applyAlignment="1">
      <alignment vertical="center"/>
    </xf>
    <xf numFmtId="199" fontId="74" fillId="0" borderId="0" xfId="37" applyNumberFormat="1" applyFont="1" applyAlignment="1">
      <alignment vertical="center"/>
    </xf>
    <xf numFmtId="2" fontId="5" fillId="0" borderId="124" xfId="3" applyNumberFormat="1" applyFont="1" applyBorder="1" applyAlignment="1">
      <alignment horizontal="left" vertical="center" wrapText="1" shrinkToFit="1"/>
    </xf>
    <xf numFmtId="0" fontId="145" fillId="23" borderId="0" xfId="37" applyFont="1" applyFill="1" applyAlignment="1">
      <alignment horizontal="right"/>
    </xf>
    <xf numFmtId="0" fontId="3" fillId="6" borderId="0" xfId="37" applyFont="1" applyFill="1" applyAlignment="1">
      <alignment horizontal="right" vertical="center"/>
    </xf>
    <xf numFmtId="0" fontId="4" fillId="6" borderId="0" xfId="37" applyFont="1" applyFill="1" applyAlignment="1">
      <alignment horizontal="left" vertical="center"/>
    </xf>
    <xf numFmtId="0" fontId="3" fillId="6" borderId="0" xfId="37" applyFont="1" applyFill="1" applyAlignment="1">
      <alignment horizontal="left" vertical="center"/>
    </xf>
    <xf numFmtId="0" fontId="145" fillId="6" borderId="0" xfId="37" applyFont="1" applyFill="1" applyAlignment="1">
      <alignment vertical="center"/>
    </xf>
    <xf numFmtId="0" fontId="145" fillId="23" borderId="0" xfId="37" applyFont="1" applyFill="1"/>
    <xf numFmtId="0" fontId="145" fillId="6" borderId="0" xfId="37" applyFont="1" applyFill="1" applyAlignment="1">
      <alignment horizontal="left" vertical="center"/>
    </xf>
    <xf numFmtId="0" fontId="72" fillId="6" borderId="0" xfId="37" applyFont="1" applyFill="1" applyAlignment="1">
      <alignment vertical="center"/>
    </xf>
    <xf numFmtId="14" fontId="4" fillId="6" borderId="0" xfId="37" applyNumberFormat="1" applyFont="1" applyFill="1" applyAlignment="1">
      <alignment horizontal="left" vertical="center"/>
    </xf>
    <xf numFmtId="0" fontId="4" fillId="6" borderId="0" xfId="37" applyFont="1" applyFill="1" applyAlignment="1">
      <alignment vertical="center"/>
    </xf>
    <xf numFmtId="0" fontId="88" fillId="23" borderId="0" xfId="37" applyFont="1" applyFill="1"/>
    <xf numFmtId="0" fontId="89" fillId="6" borderId="0" xfId="37" applyFont="1" applyFill="1" applyAlignment="1">
      <alignment vertical="center"/>
    </xf>
    <xf numFmtId="174" fontId="179" fillId="0" borderId="0" xfId="37" applyNumberFormat="1" applyFont="1" applyAlignment="1">
      <alignment horizontal="center"/>
    </xf>
    <xf numFmtId="10" fontId="5" fillId="0" borderId="120" xfId="47" applyNumberFormat="1" applyFont="1" applyFill="1" applyBorder="1" applyAlignment="1">
      <alignment horizontal="center" vertical="center" wrapText="1" shrinkToFit="1"/>
    </xf>
    <xf numFmtId="10" fontId="5" fillId="0" borderId="120" xfId="47" applyNumberFormat="1" applyFont="1" applyFill="1" applyBorder="1" applyAlignment="1">
      <alignment horizontal="center" vertical="center" wrapText="1"/>
    </xf>
    <xf numFmtId="10" fontId="5" fillId="0" borderId="128" xfId="47" applyNumberFormat="1" applyFont="1" applyFill="1" applyBorder="1" applyAlignment="1">
      <alignment horizontal="center" vertical="center" wrapText="1"/>
    </xf>
    <xf numFmtId="178" fontId="182" fillId="0" borderId="121" xfId="3" applyNumberFormat="1" applyFont="1" applyBorder="1" applyAlignment="1">
      <alignment horizontal="center" vertical="center" wrapText="1"/>
    </xf>
    <xf numFmtId="0" fontId="70" fillId="6" borderId="0" xfId="50" applyFont="1" applyFill="1" applyAlignment="1">
      <alignment horizontal="centerContinuous" vertical="center"/>
    </xf>
    <xf numFmtId="0" fontId="6" fillId="6" borderId="0" xfId="50" applyFont="1" applyFill="1" applyAlignment="1">
      <alignment vertical="center"/>
    </xf>
    <xf numFmtId="0" fontId="70" fillId="6" borderId="0" xfId="50" applyFont="1" applyFill="1" applyAlignment="1">
      <alignment horizontal="left" vertical="center"/>
    </xf>
    <xf numFmtId="2" fontId="70" fillId="6" borderId="0" xfId="50" applyNumberFormat="1" applyFont="1" applyFill="1" applyAlignment="1">
      <alignment horizontal="left" vertical="center"/>
    </xf>
    <xf numFmtId="0" fontId="70" fillId="6" borderId="0" xfId="42" applyFont="1" applyFill="1" applyAlignment="1">
      <alignment horizontal="left" vertical="center"/>
    </xf>
    <xf numFmtId="206" fontId="70" fillId="6" borderId="0" xfId="50" applyNumberFormat="1" applyFont="1" applyFill="1" applyAlignment="1">
      <alignment horizontal="left" vertical="center"/>
    </xf>
    <xf numFmtId="0" fontId="70" fillId="6" borderId="0" xfId="50" applyFont="1" applyFill="1" applyAlignment="1">
      <alignment horizontal="center" vertical="center"/>
    </xf>
    <xf numFmtId="204" fontId="70" fillId="6" borderId="130" xfId="37" applyNumberFormat="1" applyFont="1" applyFill="1" applyBorder="1" applyAlignment="1">
      <alignment horizontal="center" vertical="center"/>
    </xf>
    <xf numFmtId="15" fontId="70" fillId="6" borderId="130" xfId="37" applyNumberFormat="1" applyFont="1" applyFill="1" applyBorder="1" applyAlignment="1">
      <alignment horizontal="center" vertical="center"/>
    </xf>
    <xf numFmtId="15" fontId="70" fillId="6" borderId="138" xfId="37" applyNumberFormat="1" applyFont="1" applyFill="1" applyBorder="1" applyAlignment="1">
      <alignment horizontal="center" vertical="center"/>
    </xf>
    <xf numFmtId="171" fontId="70" fillId="16" borderId="116" xfId="49" applyFont="1" applyFill="1" applyBorder="1" applyAlignment="1">
      <alignment vertical="center"/>
    </xf>
    <xf numFmtId="0" fontId="70" fillId="16" borderId="117" xfId="42" applyFont="1" applyFill="1" applyBorder="1" applyAlignment="1">
      <alignment vertical="center"/>
    </xf>
    <xf numFmtId="0" fontId="70" fillId="16" borderId="130" xfId="42" applyFont="1" applyFill="1" applyBorder="1" applyAlignment="1">
      <alignment vertical="center"/>
    </xf>
    <xf numFmtId="207" fontId="183" fillId="0" borderId="129" xfId="50" applyNumberFormat="1" applyFont="1" applyBorder="1" applyAlignment="1">
      <alignment vertical="center"/>
    </xf>
    <xf numFmtId="207" fontId="183" fillId="6" borderId="130" xfId="50" applyNumberFormat="1" applyFont="1" applyFill="1" applyBorder="1" applyAlignment="1">
      <alignment horizontal="center" vertical="center"/>
    </xf>
    <xf numFmtId="3" fontId="183" fillId="6" borderId="130" xfId="50" applyNumberFormat="1" applyFont="1" applyFill="1" applyBorder="1" applyAlignment="1">
      <alignment horizontal="center" vertical="center"/>
    </xf>
    <xf numFmtId="0" fontId="184" fillId="23" borderId="0" xfId="37" applyFont="1" applyFill="1"/>
    <xf numFmtId="207" fontId="185" fillId="0" borderId="129" xfId="50" applyNumberFormat="1" applyFont="1" applyBorder="1" applyAlignment="1">
      <alignment vertical="center"/>
    </xf>
    <xf numFmtId="207" fontId="185" fillId="6" borderId="130" xfId="50" applyNumberFormat="1" applyFont="1" applyFill="1" applyBorder="1" applyAlignment="1">
      <alignment horizontal="center" vertical="center"/>
    </xf>
    <xf numFmtId="3" fontId="185" fillId="6" borderId="130" xfId="50" applyNumberFormat="1" applyFont="1" applyFill="1" applyBorder="1" applyAlignment="1">
      <alignment horizontal="center" vertical="center"/>
    </xf>
    <xf numFmtId="207" fontId="70" fillId="9" borderId="116" xfId="50" applyNumberFormat="1" applyFont="1" applyFill="1" applyBorder="1" applyAlignment="1">
      <alignment vertical="center"/>
    </xf>
    <xf numFmtId="207" fontId="70" fillId="9" borderId="117" xfId="50" applyNumberFormat="1" applyFont="1" applyFill="1" applyBorder="1" applyAlignment="1">
      <alignment horizontal="center" vertical="center"/>
    </xf>
    <xf numFmtId="3" fontId="70" fillId="9" borderId="117" xfId="50" applyNumberFormat="1" applyFont="1" applyFill="1" applyBorder="1" applyAlignment="1">
      <alignment horizontal="center" vertical="center"/>
    </xf>
    <xf numFmtId="207" fontId="6" fillId="6" borderId="131" xfId="50" applyNumberFormat="1" applyFont="1" applyFill="1" applyBorder="1" applyAlignment="1">
      <alignment vertical="center"/>
    </xf>
    <xf numFmtId="207" fontId="186" fillId="6" borderId="132" xfId="50" applyNumberFormat="1" applyFont="1" applyFill="1" applyBorder="1" applyAlignment="1">
      <alignment horizontal="center" vertical="center"/>
    </xf>
    <xf numFmtId="0" fontId="1" fillId="0" borderId="39" xfId="37" applyBorder="1"/>
    <xf numFmtId="207" fontId="70" fillId="16" borderId="116" xfId="50" applyNumberFormat="1" applyFont="1" applyFill="1" applyBorder="1" applyAlignment="1">
      <alignment vertical="center"/>
    </xf>
    <xf numFmtId="207" fontId="70" fillId="16" borderId="117" xfId="50" applyNumberFormat="1" applyFont="1" applyFill="1" applyBorder="1" applyAlignment="1">
      <alignment horizontal="center" vertical="center"/>
    </xf>
    <xf numFmtId="3" fontId="70" fillId="16" borderId="117" xfId="50" applyNumberFormat="1" applyFont="1" applyFill="1" applyBorder="1" applyAlignment="1">
      <alignment horizontal="center" vertical="center"/>
    </xf>
    <xf numFmtId="207" fontId="70" fillId="6" borderId="116" xfId="50" applyNumberFormat="1" applyFont="1" applyFill="1" applyBorder="1" applyAlignment="1">
      <alignment vertical="center"/>
    </xf>
    <xf numFmtId="207" fontId="70" fillId="6" borderId="117" xfId="50" applyNumberFormat="1" applyFont="1" applyFill="1" applyBorder="1" applyAlignment="1">
      <alignment horizontal="center" vertical="center"/>
    </xf>
    <xf numFmtId="3" fontId="70" fillId="6" borderId="117" xfId="50" applyNumberFormat="1" applyFont="1" applyFill="1" applyBorder="1" applyAlignment="1">
      <alignment horizontal="center" vertical="center"/>
    </xf>
    <xf numFmtId="204" fontId="70" fillId="6" borderId="130" xfId="51" applyNumberFormat="1" applyFont="1" applyFill="1" applyBorder="1" applyAlignment="1">
      <alignment horizontal="center" vertical="center"/>
    </xf>
    <xf numFmtId="15" fontId="70" fillId="6" borderId="130" xfId="51" applyNumberFormat="1" applyFont="1" applyFill="1" applyBorder="1" applyAlignment="1">
      <alignment horizontal="center" vertical="center"/>
    </xf>
    <xf numFmtId="15" fontId="70" fillId="6" borderId="138" xfId="51" applyNumberFormat="1" applyFont="1" applyFill="1" applyBorder="1" applyAlignment="1">
      <alignment horizontal="center" vertical="center"/>
    </xf>
    <xf numFmtId="171" fontId="70" fillId="16" borderId="130" xfId="49" applyFont="1" applyFill="1" applyBorder="1" applyAlignment="1">
      <alignment vertical="center"/>
    </xf>
    <xf numFmtId="207" fontId="183" fillId="6" borderId="130" xfId="50" applyNumberFormat="1" applyFont="1" applyFill="1" applyBorder="1" applyAlignment="1">
      <alignment vertical="center"/>
    </xf>
    <xf numFmtId="0" fontId="187" fillId="23" borderId="0" xfId="51" applyFont="1" applyFill="1"/>
    <xf numFmtId="207" fontId="185" fillId="6" borderId="130" xfId="50" applyNumberFormat="1" applyFont="1" applyFill="1" applyBorder="1" applyAlignment="1">
      <alignment vertical="center"/>
    </xf>
    <xf numFmtId="0" fontId="184" fillId="23" borderId="0" xfId="51" applyFont="1" applyFill="1"/>
    <xf numFmtId="207" fontId="70" fillId="6" borderId="130" xfId="50" applyNumberFormat="1" applyFont="1" applyFill="1" applyBorder="1" applyAlignment="1">
      <alignment vertical="center"/>
    </xf>
    <xf numFmtId="207" fontId="70" fillId="6" borderId="130" xfId="50" applyNumberFormat="1" applyFont="1" applyFill="1" applyBorder="1" applyAlignment="1">
      <alignment horizontal="center" vertical="center"/>
    </xf>
    <xf numFmtId="3" fontId="70" fillId="6" borderId="130" xfId="50" applyNumberFormat="1" applyFont="1" applyFill="1" applyBorder="1" applyAlignment="1">
      <alignment horizontal="center" vertical="center"/>
    </xf>
    <xf numFmtId="207" fontId="6" fillId="6" borderId="130" xfId="50" applyNumberFormat="1" applyFont="1" applyFill="1" applyBorder="1" applyAlignment="1">
      <alignment vertical="center"/>
    </xf>
    <xf numFmtId="207" fontId="186" fillId="6" borderId="130" xfId="50" applyNumberFormat="1" applyFont="1" applyFill="1" applyBorder="1" applyAlignment="1">
      <alignment horizontal="center" vertical="center"/>
    </xf>
    <xf numFmtId="0" fontId="6" fillId="0" borderId="145" xfId="51" applyFont="1" applyBorder="1" applyAlignment="1">
      <alignment vertical="center"/>
    </xf>
    <xf numFmtId="0" fontId="6" fillId="0" borderId="145" xfId="51" applyFont="1" applyBorder="1" applyAlignment="1">
      <alignment horizontal="center" vertical="center"/>
    </xf>
    <xf numFmtId="0" fontId="4" fillId="23" borderId="0" xfId="52" applyFill="1"/>
    <xf numFmtId="0" fontId="4" fillId="0" borderId="0" xfId="52"/>
    <xf numFmtId="0" fontId="4" fillId="0" borderId="0" xfId="52" applyAlignment="1">
      <alignment horizontal="center" wrapText="1"/>
    </xf>
    <xf numFmtId="14" fontId="6" fillId="0" borderId="145" xfId="51" applyNumberFormat="1" applyFont="1" applyBorder="1" applyAlignment="1">
      <alignment horizontal="center" vertical="center"/>
    </xf>
    <xf numFmtId="0" fontId="4" fillId="23" borderId="0" xfId="52" applyFill="1" applyAlignment="1">
      <alignment horizontal="center" wrapText="1"/>
    </xf>
    <xf numFmtId="0" fontId="188" fillId="23" borderId="0" xfId="52" applyFont="1" applyFill="1" applyAlignment="1">
      <alignment horizontal="center" vertical="center" wrapText="1"/>
    </xf>
    <xf numFmtId="0" fontId="6" fillId="23" borderId="0" xfId="51" applyFont="1" applyFill="1" applyAlignment="1">
      <alignment vertical="center"/>
    </xf>
    <xf numFmtId="0" fontId="6" fillId="23" borderId="0" xfId="51" applyFont="1" applyFill="1" applyAlignment="1">
      <alignment horizontal="center" vertical="center"/>
    </xf>
    <xf numFmtId="0" fontId="189" fillId="23" borderId="0" xfId="52" applyFont="1" applyFill="1" applyAlignment="1">
      <alignment horizontal="center" vertical="top"/>
    </xf>
    <xf numFmtId="14" fontId="189" fillId="23" borderId="0" xfId="52" applyNumberFormat="1" applyFont="1" applyFill="1" applyAlignment="1">
      <alignment horizontal="left" vertical="top"/>
    </xf>
    <xf numFmtId="0" fontId="4" fillId="23" borderId="0" xfId="52" applyFill="1" applyAlignment="1">
      <alignment vertical="center" wrapText="1"/>
    </xf>
    <xf numFmtId="0" fontId="4" fillId="23" borderId="0" xfId="52" applyFill="1" applyAlignment="1">
      <alignment horizontal="center"/>
    </xf>
    <xf numFmtId="0" fontId="4" fillId="23" borderId="0" xfId="52" applyFill="1" applyAlignment="1">
      <alignment horizontal="center" vertical="center"/>
    </xf>
    <xf numFmtId="0" fontId="189" fillId="23" borderId="0" xfId="52" applyFont="1" applyFill="1" applyAlignment="1">
      <alignment horizontal="center" vertical="top" wrapText="1"/>
    </xf>
    <xf numFmtId="49" fontId="189" fillId="23" borderId="0" xfId="52" applyNumberFormat="1" applyFont="1" applyFill="1" applyAlignment="1">
      <alignment horizontal="center" vertical="top" wrapText="1"/>
    </xf>
    <xf numFmtId="14" fontId="189" fillId="23" borderId="0" xfId="52" applyNumberFormat="1" applyFont="1" applyFill="1" applyAlignment="1">
      <alignment vertical="top"/>
    </xf>
    <xf numFmtId="0" fontId="177" fillId="12" borderId="130" xfId="53" applyFont="1" applyFill="1" applyBorder="1" applyAlignment="1">
      <alignment horizontal="center" vertical="center" wrapText="1"/>
    </xf>
    <xf numFmtId="0" fontId="177" fillId="12" borderId="130" xfId="52" applyFont="1" applyFill="1" applyBorder="1" applyAlignment="1">
      <alignment horizontal="center" vertical="center" wrapText="1"/>
    </xf>
    <xf numFmtId="14" fontId="177" fillId="12" borderId="130" xfId="52" applyNumberFormat="1" applyFont="1" applyFill="1" applyBorder="1" applyAlignment="1">
      <alignment horizontal="center" vertical="center" wrapText="1"/>
    </xf>
    <xf numFmtId="14" fontId="177" fillId="12" borderId="130" xfId="51" applyNumberFormat="1" applyFont="1" applyFill="1" applyBorder="1" applyAlignment="1">
      <alignment horizontal="center" vertical="center" wrapText="1"/>
    </xf>
    <xf numFmtId="0" fontId="177" fillId="12" borderId="130" xfId="51" applyFont="1" applyFill="1" applyBorder="1" applyAlignment="1">
      <alignment horizontal="center" vertical="center" wrapText="1"/>
    </xf>
    <xf numFmtId="0" fontId="177" fillId="69" borderId="130" xfId="52" applyFont="1" applyFill="1" applyBorder="1" applyAlignment="1">
      <alignment horizontal="center" vertical="center" wrapText="1"/>
    </xf>
    <xf numFmtId="14" fontId="177" fillId="70" borderId="130" xfId="51" applyNumberFormat="1" applyFont="1" applyFill="1" applyBorder="1" applyAlignment="1">
      <alignment horizontal="center" vertical="center"/>
    </xf>
    <xf numFmtId="0" fontId="177" fillId="69" borderId="130" xfId="52" applyFont="1" applyFill="1" applyBorder="1" applyAlignment="1">
      <alignment horizontal="left" vertical="center" wrapText="1"/>
    </xf>
    <xf numFmtId="14" fontId="177" fillId="69" borderId="130" xfId="51" applyNumberFormat="1" applyFont="1" applyFill="1" applyBorder="1" applyAlignment="1">
      <alignment horizontal="center" vertical="center" wrapText="1"/>
    </xf>
    <xf numFmtId="0" fontId="177" fillId="69" borderId="130" xfId="51" applyFont="1" applyFill="1" applyBorder="1" applyAlignment="1">
      <alignment horizontal="center" vertical="center" wrapText="1"/>
    </xf>
    <xf numFmtId="14" fontId="177" fillId="70" borderId="151" xfId="51" applyNumberFormat="1" applyFont="1" applyFill="1" applyBorder="1" applyAlignment="1">
      <alignment horizontal="center" vertical="center"/>
    </xf>
    <xf numFmtId="2" fontId="177" fillId="69" borderId="130" xfId="52" applyNumberFormat="1" applyFont="1" applyFill="1" applyBorder="1" applyAlignment="1">
      <alignment horizontal="center" vertical="center" wrapText="1"/>
    </xf>
    <xf numFmtId="0" fontId="190" fillId="0" borderId="0" xfId="52" applyFont="1" applyAlignment="1">
      <alignment horizontal="right" vertical="center"/>
    </xf>
    <xf numFmtId="0" fontId="9" fillId="0" borderId="0" xfId="52" applyFont="1" applyAlignment="1">
      <alignment horizontal="center" vertical="center" wrapText="1"/>
    </xf>
    <xf numFmtId="0" fontId="9" fillId="0" borderId="0" xfId="52" applyFont="1" applyAlignment="1">
      <alignment horizontal="center" vertical="center"/>
    </xf>
    <xf numFmtId="0" fontId="9" fillId="0" borderId="0" xfId="52" applyFont="1" applyAlignment="1">
      <alignment vertical="center" wrapText="1"/>
    </xf>
    <xf numFmtId="14" fontId="9" fillId="0" borderId="0" xfId="52" applyNumberFormat="1" applyFont="1" applyAlignment="1">
      <alignment horizontal="center" vertical="center"/>
    </xf>
    <xf numFmtId="14" fontId="177" fillId="0" borderId="0" xfId="51" applyNumberFormat="1" applyFont="1" applyAlignment="1">
      <alignment horizontal="center" vertical="center"/>
    </xf>
    <xf numFmtId="0" fontId="177" fillId="0" borderId="0" xfId="51" applyFont="1" applyAlignment="1">
      <alignment horizontal="center" vertical="center" wrapText="1"/>
    </xf>
    <xf numFmtId="14" fontId="177" fillId="0" borderId="0" xfId="51" applyNumberFormat="1" applyFont="1" applyAlignment="1">
      <alignment horizontal="left" vertical="center"/>
    </xf>
    <xf numFmtId="14" fontId="9" fillId="0" borderId="0" xfId="51" applyNumberFormat="1" applyFont="1" applyAlignment="1">
      <alignment horizontal="center" vertical="center" wrapText="1"/>
    </xf>
    <xf numFmtId="14" fontId="9" fillId="0" borderId="0" xfId="52" applyNumberFormat="1" applyFont="1" applyAlignment="1">
      <alignment vertical="center"/>
    </xf>
    <xf numFmtId="0" fontId="190" fillId="23" borderId="0" xfId="53" applyFont="1" applyFill="1" applyAlignment="1">
      <alignment horizontal="right" vertical="center"/>
    </xf>
    <xf numFmtId="0" fontId="9" fillId="23" borderId="0" xfId="52" applyFont="1" applyFill="1" applyAlignment="1">
      <alignment horizontal="center" vertical="center" wrapText="1"/>
    </xf>
    <xf numFmtId="49" fontId="9" fillId="23" borderId="0" xfId="52" applyNumberFormat="1" applyFont="1" applyFill="1" applyAlignment="1">
      <alignment horizontal="center" vertical="center" wrapText="1"/>
    </xf>
    <xf numFmtId="0" fontId="9" fillId="23" borderId="0" xfId="52" applyFont="1" applyFill="1" applyAlignment="1">
      <alignment horizontal="center" vertical="center"/>
    </xf>
    <xf numFmtId="0" fontId="9" fillId="23" borderId="0" xfId="52" applyFont="1" applyFill="1" applyAlignment="1">
      <alignment vertical="center" wrapText="1"/>
    </xf>
    <xf numFmtId="14" fontId="177" fillId="23" borderId="0" xfId="51" applyNumberFormat="1" applyFont="1" applyFill="1" applyAlignment="1">
      <alignment horizontal="center" vertical="center"/>
    </xf>
    <xf numFmtId="0" fontId="177" fillId="23" borderId="0" xfId="51" applyFont="1" applyFill="1" applyAlignment="1">
      <alignment horizontal="center" vertical="center" wrapText="1"/>
    </xf>
    <xf numFmtId="0" fontId="9" fillId="23" borderId="0" xfId="52" applyFont="1" applyFill="1" applyAlignment="1">
      <alignment vertical="center"/>
    </xf>
    <xf numFmtId="49" fontId="4" fillId="23" borderId="0" xfId="52" applyNumberFormat="1" applyFill="1" applyAlignment="1">
      <alignment horizontal="center" wrapText="1"/>
    </xf>
    <xf numFmtId="49" fontId="4" fillId="0" borderId="0" xfId="52" applyNumberFormat="1" applyAlignment="1">
      <alignment horizontal="center" wrapText="1"/>
    </xf>
    <xf numFmtId="0" fontId="4" fillId="0" borderId="0" xfId="52" applyAlignment="1">
      <alignment horizontal="center"/>
    </xf>
    <xf numFmtId="0" fontId="4" fillId="0" borderId="0" xfId="52" applyAlignment="1">
      <alignment vertical="center" wrapText="1"/>
    </xf>
    <xf numFmtId="0" fontId="4" fillId="0" borderId="0" xfId="52" applyAlignment="1">
      <alignment horizontal="center" vertical="center"/>
    </xf>
    <xf numFmtId="0" fontId="1" fillId="23" borderId="0" xfId="51" applyFill="1"/>
    <xf numFmtId="0" fontId="1" fillId="23" borderId="0" xfId="51" applyFill="1" applyAlignment="1">
      <alignment horizontal="center" vertical="center"/>
    </xf>
    <xf numFmtId="0" fontId="191" fillId="23" borderId="0" xfId="51" applyFont="1" applyFill="1"/>
    <xf numFmtId="0" fontId="192" fillId="23" borderId="0" xfId="51" applyFont="1" applyFill="1"/>
    <xf numFmtId="0" fontId="192" fillId="23" borderId="0" xfId="51" applyFont="1" applyFill="1" applyAlignment="1">
      <alignment horizontal="right" vertical="top"/>
    </xf>
    <xf numFmtId="0" fontId="192" fillId="23" borderId="0" xfId="51" applyFont="1" applyFill="1" applyAlignment="1">
      <alignment horizontal="center" vertical="center"/>
    </xf>
    <xf numFmtId="0" fontId="192" fillId="23" borderId="0" xfId="51" applyFont="1" applyFill="1" applyAlignment="1">
      <alignment horizontal="center" vertical="top"/>
    </xf>
    <xf numFmtId="0" fontId="193" fillId="23" borderId="0" xfId="51" applyFont="1" applyFill="1" applyAlignment="1">
      <alignment horizontal="center"/>
    </xf>
    <xf numFmtId="0" fontId="130" fillId="23" borderId="0" xfId="51" applyFont="1" applyFill="1"/>
    <xf numFmtId="0" fontId="177" fillId="71" borderId="130" xfId="52" applyFont="1" applyFill="1" applyBorder="1" applyAlignment="1">
      <alignment horizontal="center" vertical="center" wrapText="1"/>
    </xf>
    <xf numFmtId="0" fontId="177" fillId="69" borderId="130" xfId="52" quotePrefix="1" applyFont="1" applyFill="1" applyBorder="1" applyAlignment="1">
      <alignment horizontal="center" vertical="center" wrapText="1"/>
    </xf>
    <xf numFmtId="0" fontId="1" fillId="0" borderId="0" xfId="55"/>
    <xf numFmtId="0" fontId="195" fillId="8" borderId="39" xfId="54" applyFont="1" applyFill="1" applyBorder="1" applyAlignment="1">
      <alignment horizontal="left" vertical="center"/>
    </xf>
    <xf numFmtId="0" fontId="195" fillId="8" borderId="51" xfId="54" applyFont="1" applyFill="1" applyBorder="1" applyAlignment="1">
      <alignment horizontal="left" vertical="center"/>
    </xf>
    <xf numFmtId="0" fontId="32" fillId="0" borderId="52" xfId="54" applyFont="1" applyBorder="1" applyAlignment="1">
      <alignment horizontal="center" vertical="center"/>
    </xf>
    <xf numFmtId="0" fontId="195" fillId="8" borderId="41" xfId="54" applyFont="1" applyFill="1" applyBorder="1" applyAlignment="1">
      <alignment horizontal="left" vertical="center"/>
    </xf>
    <xf numFmtId="0" fontId="195" fillId="0" borderId="51" xfId="54" applyFont="1" applyBorder="1" applyAlignment="1">
      <alignment horizontal="left" vertical="center"/>
    </xf>
    <xf numFmtId="0" fontId="195" fillId="0" borderId="52" xfId="54" applyFont="1" applyBorder="1" applyAlignment="1">
      <alignment horizontal="left" vertical="center"/>
    </xf>
    <xf numFmtId="0" fontId="197" fillId="0" borderId="52" xfId="55" applyFont="1" applyBorder="1" applyAlignment="1">
      <alignment horizontal="center"/>
    </xf>
    <xf numFmtId="0" fontId="197" fillId="0" borderId="47" xfId="55" applyFont="1" applyBorder="1" applyAlignment="1">
      <alignment horizontal="center"/>
    </xf>
    <xf numFmtId="0" fontId="198" fillId="0" borderId="0" xfId="55" applyFont="1"/>
    <xf numFmtId="0" fontId="198" fillId="0" borderId="40" xfId="55" applyFont="1" applyBorder="1"/>
    <xf numFmtId="0" fontId="198" fillId="0" borderId="36" xfId="55" applyFont="1" applyBorder="1"/>
    <xf numFmtId="0" fontId="198" fillId="0" borderId="37" xfId="55" applyFont="1" applyBorder="1"/>
    <xf numFmtId="0" fontId="198" fillId="0" borderId="38" xfId="55" applyFont="1" applyBorder="1"/>
    <xf numFmtId="0" fontId="198" fillId="0" borderId="39" xfId="55" applyFont="1" applyBorder="1"/>
    <xf numFmtId="0" fontId="198" fillId="0" borderId="0" xfId="55" applyFont="1" applyAlignment="1">
      <alignment horizontal="center" vertical="center"/>
    </xf>
    <xf numFmtId="0" fontId="198" fillId="0" borderId="41" xfId="55" applyFont="1" applyBorder="1"/>
    <xf numFmtId="0" fontId="198" fillId="0" borderId="42" xfId="55" applyFont="1" applyBorder="1"/>
    <xf numFmtId="0" fontId="198" fillId="0" borderId="43" xfId="55" applyFont="1" applyBorder="1"/>
    <xf numFmtId="0" fontId="198" fillId="0" borderId="51" xfId="55" applyFont="1" applyBorder="1"/>
    <xf numFmtId="0" fontId="198" fillId="0" borderId="52" xfId="55" applyFont="1" applyBorder="1"/>
    <xf numFmtId="0" fontId="198" fillId="0" borderId="47" xfId="55" applyFont="1" applyBorder="1"/>
    <xf numFmtId="0" fontId="1" fillId="0" borderId="41" xfId="55" applyBorder="1"/>
    <xf numFmtId="0" fontId="1" fillId="0" borderId="42" xfId="55" applyBorder="1"/>
    <xf numFmtId="0" fontId="1" fillId="0" borderId="43" xfId="55" applyBorder="1"/>
    <xf numFmtId="0" fontId="55" fillId="0" borderId="0" xfId="55" applyFont="1"/>
    <xf numFmtId="0" fontId="199" fillId="0" borderId="0" xfId="55" applyFont="1"/>
    <xf numFmtId="0" fontId="73" fillId="0" borderId="0" xfId="55" applyFont="1"/>
    <xf numFmtId="0" fontId="55" fillId="0" borderId="36" xfId="55" applyFont="1" applyBorder="1" applyAlignment="1">
      <alignment horizontal="center"/>
    </xf>
    <xf numFmtId="0" fontId="55" fillId="0" borderId="37" xfId="55" applyFont="1" applyBorder="1" applyAlignment="1">
      <alignment horizontal="center"/>
    </xf>
    <xf numFmtId="0" fontId="200" fillId="0" borderId="0" xfId="55" applyFont="1"/>
    <xf numFmtId="0" fontId="55" fillId="0" borderId="38" xfId="55" applyFont="1" applyBorder="1" applyAlignment="1">
      <alignment horizontal="center"/>
    </xf>
    <xf numFmtId="194" fontId="137" fillId="50" borderId="0" xfId="0" applyNumberFormat="1" applyFont="1" applyFill="1" applyAlignment="1">
      <alignment horizontal="center"/>
    </xf>
    <xf numFmtId="181" fontId="4" fillId="6" borderId="0" xfId="37" applyNumberFormat="1" applyFont="1" applyFill="1" applyAlignment="1">
      <alignment horizontal="left" vertical="center"/>
    </xf>
    <xf numFmtId="0" fontId="201" fillId="23" borderId="0" xfId="37" applyFont="1" applyFill="1"/>
    <xf numFmtId="208" fontId="148" fillId="23" borderId="112" xfId="37" applyNumberFormat="1" applyFont="1" applyFill="1" applyBorder="1" applyAlignment="1">
      <alignment horizontal="center" vertical="center"/>
    </xf>
    <xf numFmtId="208" fontId="144" fillId="0" borderId="108" xfId="37" applyNumberFormat="1" applyFont="1" applyBorder="1" applyAlignment="1">
      <alignment horizontal="center" vertical="center"/>
    </xf>
    <xf numFmtId="194" fontId="58" fillId="0" borderId="0" xfId="0" applyNumberFormat="1" applyFont="1"/>
    <xf numFmtId="195" fontId="202" fillId="67" borderId="0" xfId="0" applyNumberFormat="1" applyFont="1" applyFill="1"/>
    <xf numFmtId="197" fontId="202" fillId="67" borderId="0" xfId="0" applyNumberFormat="1" applyFont="1" applyFill="1"/>
    <xf numFmtId="3" fontId="185" fillId="73" borderId="130" xfId="50" applyNumberFormat="1" applyFont="1" applyFill="1" applyBorder="1" applyAlignment="1">
      <alignment horizontal="center" vertical="center"/>
    </xf>
    <xf numFmtId="3" fontId="185" fillId="73" borderId="132" xfId="50" applyNumberFormat="1" applyFont="1" applyFill="1" applyBorder="1" applyAlignment="1">
      <alignment horizontal="center" vertical="center"/>
    </xf>
    <xf numFmtId="3" fontId="183" fillId="73" borderId="130" xfId="50" applyNumberFormat="1" applyFont="1" applyFill="1" applyBorder="1" applyAlignment="1">
      <alignment horizontal="center" vertical="center"/>
    </xf>
    <xf numFmtId="191" fontId="177" fillId="69" borderId="130" xfId="52" applyNumberFormat="1" applyFont="1" applyFill="1" applyBorder="1" applyAlignment="1">
      <alignment horizontal="center" vertical="center" wrapText="1"/>
    </xf>
    <xf numFmtId="191" fontId="177" fillId="69" borderId="130" xfId="51" applyNumberFormat="1" applyFont="1" applyFill="1" applyBorder="1" applyAlignment="1">
      <alignment horizontal="center" vertical="center" wrapText="1"/>
    </xf>
    <xf numFmtId="191" fontId="9" fillId="0" borderId="0" xfId="52" applyNumberFormat="1" applyFont="1" applyAlignment="1">
      <alignment horizontal="center" vertical="center"/>
    </xf>
    <xf numFmtId="191" fontId="177" fillId="0" borderId="0" xfId="51" applyNumberFormat="1" applyFont="1" applyAlignment="1">
      <alignment horizontal="center" vertical="center"/>
    </xf>
    <xf numFmtId="191" fontId="9" fillId="0" borderId="0" xfId="51" applyNumberFormat="1" applyFont="1" applyAlignment="1">
      <alignment horizontal="center" vertical="center" wrapText="1"/>
    </xf>
    <xf numFmtId="0" fontId="183" fillId="0" borderId="129" xfId="50" applyFont="1" applyBorder="1" applyAlignment="1">
      <alignment vertical="center"/>
    </xf>
    <xf numFmtId="0" fontId="183" fillId="6" borderId="130" xfId="50" applyFont="1" applyFill="1" applyBorder="1" applyAlignment="1">
      <alignment vertical="center"/>
    </xf>
    <xf numFmtId="2" fontId="9" fillId="0" borderId="0" xfId="52" applyNumberFormat="1" applyFont="1" applyAlignment="1">
      <alignment vertical="center"/>
    </xf>
    <xf numFmtId="178" fontId="203" fillId="0" borderId="0" xfId="37" applyNumberFormat="1" applyFont="1"/>
    <xf numFmtId="2" fontId="206" fillId="0" borderId="134" xfId="3" applyNumberFormat="1" applyFont="1" applyBorder="1" applyAlignment="1">
      <alignment horizontal="left" vertical="center" shrinkToFit="1"/>
    </xf>
    <xf numFmtId="2" fontId="207" fillId="0" borderId="120" xfId="3" applyNumberFormat="1" applyFont="1" applyBorder="1" applyAlignment="1">
      <alignment vertical="center" shrinkToFit="1"/>
    </xf>
    <xf numFmtId="174" fontId="206" fillId="0" borderId="0" xfId="37" applyNumberFormat="1" applyFont="1" applyAlignment="1">
      <alignment horizontal="center"/>
    </xf>
    <xf numFmtId="169" fontId="206" fillId="0" borderId="124" xfId="47" applyNumberFormat="1" applyFont="1" applyFill="1" applyBorder="1" applyAlignment="1">
      <alignment horizontal="center" vertical="center" wrapText="1"/>
    </xf>
    <xf numFmtId="2" fontId="206" fillId="0" borderId="120" xfId="45" applyNumberFormat="1" applyFont="1" applyBorder="1" applyAlignment="1">
      <alignment horizontal="left" vertical="center" shrinkToFit="1"/>
    </xf>
    <xf numFmtId="2" fontId="206" fillId="0" borderId="124" xfId="3" applyNumberFormat="1" applyFont="1" applyBorder="1" applyAlignment="1">
      <alignment horizontal="left" vertical="center" wrapText="1" shrinkToFit="1"/>
    </xf>
    <xf numFmtId="2" fontId="207" fillId="0" borderId="120" xfId="45" applyNumberFormat="1" applyFont="1" applyBorder="1" applyAlignment="1">
      <alignment horizontal="left" vertical="center" wrapText="1" shrinkToFit="1"/>
    </xf>
    <xf numFmtId="10" fontId="206" fillId="0" borderId="120" xfId="3" applyNumberFormat="1" applyFont="1" applyBorder="1" applyAlignment="1">
      <alignment horizontal="center" vertical="center" wrapText="1"/>
    </xf>
    <xf numFmtId="10" fontId="206" fillId="0" borderId="120" xfId="47" applyNumberFormat="1" applyFont="1" applyFill="1" applyBorder="1" applyAlignment="1">
      <alignment horizontal="center" vertical="center" wrapText="1" shrinkToFit="1"/>
    </xf>
    <xf numFmtId="10" fontId="206" fillId="0" borderId="120" xfId="47" applyNumberFormat="1" applyFont="1" applyFill="1" applyBorder="1" applyAlignment="1">
      <alignment horizontal="center" vertical="center" wrapText="1"/>
    </xf>
    <xf numFmtId="10" fontId="206" fillId="0" borderId="128" xfId="47" applyNumberFormat="1" applyFont="1" applyFill="1" applyBorder="1" applyAlignment="1">
      <alignment horizontal="center" vertical="center" wrapText="1"/>
    </xf>
    <xf numFmtId="0" fontId="208" fillId="0" borderId="0" xfId="37" applyFont="1" applyAlignment="1">
      <alignment horizontal="right"/>
    </xf>
    <xf numFmtId="10" fontId="203" fillId="0" borderId="124" xfId="3" applyNumberFormat="1" applyFont="1" applyBorder="1" applyAlignment="1">
      <alignment horizontal="center" vertical="center" wrapText="1"/>
    </xf>
    <xf numFmtId="0" fontId="205" fillId="0" borderId="0" xfId="37" applyFont="1" applyAlignment="1">
      <alignment horizontal="right"/>
    </xf>
    <xf numFmtId="10" fontId="203" fillId="0" borderId="120" xfId="46" applyNumberFormat="1" applyFont="1" applyFill="1" applyBorder="1" applyAlignment="1">
      <alignment horizontal="center" wrapText="1"/>
    </xf>
    <xf numFmtId="0" fontId="209" fillId="56" borderId="0" xfId="37" applyFont="1" applyFill="1" applyAlignment="1">
      <alignment horizontal="right"/>
    </xf>
    <xf numFmtId="0" fontId="210" fillId="56" borderId="0" xfId="37" applyFont="1" applyFill="1" applyAlignment="1">
      <alignment horizontal="right" vertical="center"/>
    </xf>
    <xf numFmtId="14" fontId="211" fillId="56" borderId="0" xfId="37" applyNumberFormat="1" applyFont="1" applyFill="1" applyAlignment="1">
      <alignment horizontal="left" vertical="center"/>
    </xf>
    <xf numFmtId="0" fontId="209" fillId="56" borderId="0" xfId="37" applyFont="1" applyFill="1" applyAlignment="1">
      <alignment vertical="center"/>
    </xf>
    <xf numFmtId="0" fontId="209" fillId="56" borderId="0" xfId="37" applyFont="1" applyFill="1"/>
    <xf numFmtId="0" fontId="209" fillId="56" borderId="0" xfId="37" applyFont="1" applyFill="1" applyAlignment="1">
      <alignment horizontal="right" vertical="center"/>
    </xf>
    <xf numFmtId="0" fontId="209" fillId="56" borderId="0" xfId="37" applyFont="1" applyFill="1" applyAlignment="1">
      <alignment vertical="center" wrapText="1"/>
    </xf>
    <xf numFmtId="4" fontId="209" fillId="56" borderId="0" xfId="37" applyNumberFormat="1" applyFont="1" applyFill="1" applyAlignment="1">
      <alignment horizontal="center" vertical="center"/>
    </xf>
    <xf numFmtId="204" fontId="210" fillId="56" borderId="130" xfId="37" applyNumberFormat="1" applyFont="1" applyFill="1" applyBorder="1" applyAlignment="1">
      <alignment horizontal="center" vertical="center"/>
    </xf>
    <xf numFmtId="49" fontId="136" fillId="56" borderId="130" xfId="48" applyNumberFormat="1" applyFont="1" applyFill="1" applyBorder="1" applyAlignment="1">
      <alignment horizontal="right" vertical="center" wrapText="1"/>
    </xf>
    <xf numFmtId="49" fontId="210" fillId="56" borderId="130" xfId="48" applyNumberFormat="1" applyFont="1" applyFill="1" applyBorder="1" applyAlignment="1">
      <alignment horizontal="right" vertical="center" wrapText="1"/>
    </xf>
    <xf numFmtId="0" fontId="210" fillId="56" borderId="130" xfId="48" applyFont="1" applyFill="1" applyBorder="1" applyAlignment="1">
      <alignment horizontal="center" vertical="center" wrapText="1"/>
    </xf>
    <xf numFmtId="4" fontId="210" fillId="56" borderId="130" xfId="48" applyNumberFormat="1" applyFont="1" applyFill="1" applyBorder="1" applyAlignment="1">
      <alignment horizontal="center" vertical="center" wrapText="1"/>
    </xf>
    <xf numFmtId="0" fontId="212" fillId="56" borderId="130" xfId="48" applyFont="1" applyFill="1" applyBorder="1" applyAlignment="1">
      <alignment horizontal="center" vertical="center" wrapText="1"/>
    </xf>
    <xf numFmtId="174" fontId="212" fillId="56" borderId="137" xfId="48" applyNumberFormat="1" applyFont="1" applyFill="1" applyBorder="1" applyAlignment="1">
      <alignment horizontal="center" vertical="center" wrapText="1"/>
    </xf>
    <xf numFmtId="194" fontId="210" fillId="56" borderId="130" xfId="37" applyNumberFormat="1" applyFont="1" applyFill="1" applyBorder="1" applyAlignment="1">
      <alignment horizontal="center" vertical="center"/>
    </xf>
    <xf numFmtId="49" fontId="210" fillId="56" borderId="138" xfId="48" applyNumberFormat="1" applyFont="1" applyFill="1" applyBorder="1" applyAlignment="1">
      <alignment horizontal="right" vertical="center" wrapText="1"/>
    </xf>
    <xf numFmtId="0" fontId="210" fillId="56" borderId="138" xfId="48" applyFont="1" applyFill="1" applyBorder="1" applyAlignment="1">
      <alignment horizontal="center" vertical="center" wrapText="1"/>
    </xf>
    <xf numFmtId="0" fontId="209" fillId="56" borderId="138" xfId="37" applyFont="1" applyFill="1" applyBorder="1"/>
    <xf numFmtId="10" fontId="209" fillId="56" borderId="132" xfId="37" applyNumberFormat="1" applyFont="1" applyFill="1" applyBorder="1" applyAlignment="1">
      <alignment horizontal="center" vertical="center"/>
    </xf>
    <xf numFmtId="0" fontId="212" fillId="56" borderId="138" xfId="48" applyFont="1" applyFill="1" applyBorder="1" applyAlignment="1">
      <alignment horizontal="center" vertical="center" wrapText="1"/>
    </xf>
    <xf numFmtId="0" fontId="212" fillId="56" borderId="139" xfId="48" applyFont="1" applyFill="1" applyBorder="1" applyAlignment="1">
      <alignment horizontal="center" vertical="center" wrapText="1"/>
    </xf>
    <xf numFmtId="194" fontId="210" fillId="56" borderId="138" xfId="37" applyNumberFormat="1" applyFont="1" applyFill="1" applyBorder="1" applyAlignment="1">
      <alignment horizontal="center" vertical="center"/>
    </xf>
    <xf numFmtId="2" fontId="136" fillId="46" borderId="133" xfId="3" applyNumberFormat="1" applyFont="1" applyFill="1" applyBorder="1" applyAlignment="1">
      <alignment horizontal="left" vertical="center" shrinkToFit="1"/>
    </xf>
    <xf numFmtId="2" fontId="136" fillId="46" borderId="118" xfId="3" applyNumberFormat="1" applyFont="1" applyFill="1" applyBorder="1" applyAlignment="1">
      <alignment horizontal="left" vertical="center" shrinkToFit="1"/>
    </xf>
    <xf numFmtId="0" fontId="213" fillId="46" borderId="118" xfId="37" applyFont="1" applyFill="1" applyBorder="1"/>
    <xf numFmtId="14" fontId="136" fillId="46" borderId="118" xfId="37" applyNumberFormat="1" applyFont="1" applyFill="1" applyBorder="1" applyAlignment="1">
      <alignment horizontal="center"/>
    </xf>
    <xf numFmtId="169" fontId="136" fillId="46" borderId="118" xfId="37" applyNumberFormat="1" applyFont="1" applyFill="1" applyBorder="1" applyAlignment="1">
      <alignment horizontal="center"/>
    </xf>
    <xf numFmtId="169" fontId="136" fillId="46" borderId="118" xfId="47" applyNumberFormat="1" applyFont="1" applyFill="1" applyBorder="1" applyAlignment="1">
      <alignment horizontal="center"/>
    </xf>
    <xf numFmtId="169" fontId="136" fillId="46" borderId="140" xfId="47" applyNumberFormat="1" applyFont="1" applyFill="1" applyBorder="1" applyAlignment="1">
      <alignment horizontal="center"/>
    </xf>
    <xf numFmtId="178" fontId="136" fillId="46" borderId="0" xfId="37" applyNumberFormat="1" applyFont="1" applyFill="1"/>
    <xf numFmtId="178" fontId="136" fillId="46" borderId="119" xfId="37" applyNumberFormat="1" applyFont="1" applyFill="1" applyBorder="1" applyAlignment="1">
      <alignment horizontal="center"/>
    </xf>
    <xf numFmtId="169" fontId="214" fillId="46" borderId="118" xfId="46" applyNumberFormat="1" applyFont="1" applyFill="1" applyBorder="1" applyAlignment="1">
      <alignment horizontal="center"/>
    </xf>
    <xf numFmtId="169" fontId="136" fillId="46" borderId="118" xfId="46" applyNumberFormat="1" applyFont="1" applyFill="1" applyBorder="1" applyAlignment="1">
      <alignment horizontal="center"/>
    </xf>
    <xf numFmtId="0" fontId="213" fillId="56" borderId="134" xfId="37" applyFont="1" applyFill="1" applyBorder="1" applyAlignment="1">
      <alignment horizontal="left"/>
    </xf>
    <xf numFmtId="0" fontId="213" fillId="56" borderId="120" xfId="37" applyFont="1" applyFill="1" applyBorder="1" applyAlignment="1">
      <alignment horizontal="left"/>
    </xf>
    <xf numFmtId="0" fontId="215" fillId="56" borderId="120" xfId="37" applyFont="1" applyFill="1" applyBorder="1"/>
    <xf numFmtId="14" fontId="136" fillId="56" borderId="120" xfId="37" applyNumberFormat="1" applyFont="1" applyFill="1" applyBorder="1" applyAlignment="1">
      <alignment horizontal="center"/>
    </xf>
    <xf numFmtId="169" fontId="136" fillId="56" borderId="120" xfId="37" applyNumberFormat="1" applyFont="1" applyFill="1" applyBorder="1" applyAlignment="1">
      <alignment horizontal="center"/>
    </xf>
    <xf numFmtId="169" fontId="136" fillId="56" borderId="120" xfId="47" applyNumberFormat="1" applyFont="1" applyFill="1" applyBorder="1" applyAlignment="1">
      <alignment horizontal="center"/>
    </xf>
    <xf numFmtId="169" fontId="136" fillId="56" borderId="128" xfId="47" applyNumberFormat="1" applyFont="1" applyFill="1" applyBorder="1" applyAlignment="1">
      <alignment horizontal="center"/>
    </xf>
    <xf numFmtId="178" fontId="136" fillId="56" borderId="0" xfId="37" applyNumberFormat="1" applyFont="1" applyFill="1"/>
    <xf numFmtId="178" fontId="136" fillId="56" borderId="121" xfId="37" applyNumberFormat="1" applyFont="1" applyFill="1" applyBorder="1" applyAlignment="1">
      <alignment horizontal="center"/>
    </xf>
    <xf numFmtId="169" fontId="136" fillId="56" borderId="120" xfId="3" applyNumberFormat="1" applyFont="1" applyFill="1" applyBorder="1" applyAlignment="1">
      <alignment horizontal="center" vertical="center"/>
    </xf>
    <xf numFmtId="2" fontId="139" fillId="73" borderId="134" xfId="3" applyNumberFormat="1" applyFont="1" applyFill="1" applyBorder="1" applyAlignment="1">
      <alignment horizontal="left" vertical="center" shrinkToFit="1"/>
    </xf>
    <xf numFmtId="2" fontId="216" fillId="73" borderId="120" xfId="3" applyNumberFormat="1" applyFont="1" applyFill="1" applyBorder="1" applyAlignment="1">
      <alignment vertical="center" shrinkToFit="1"/>
    </xf>
    <xf numFmtId="174" fontId="139" fillId="73" borderId="0" xfId="37" applyNumberFormat="1" applyFont="1" applyFill="1" applyAlignment="1">
      <alignment horizontal="center"/>
    </xf>
    <xf numFmtId="169" fontId="139" fillId="73" borderId="120" xfId="3" applyNumberFormat="1" applyFont="1" applyFill="1" applyBorder="1" applyAlignment="1">
      <alignment horizontal="center" vertical="center" wrapText="1"/>
    </xf>
    <xf numFmtId="169" fontId="139" fillId="73" borderId="124" xfId="47" applyNumberFormat="1" applyFont="1" applyFill="1" applyBorder="1" applyAlignment="1">
      <alignment horizontal="center" vertical="center" wrapText="1"/>
    </xf>
    <xf numFmtId="169" fontId="139" fillId="73" borderId="141" xfId="47" applyNumberFormat="1" applyFont="1" applyFill="1" applyBorder="1" applyAlignment="1">
      <alignment horizontal="center" vertical="center" wrapText="1"/>
    </xf>
    <xf numFmtId="178" fontId="217" fillId="73" borderId="0" xfId="37" applyNumberFormat="1" applyFont="1" applyFill="1"/>
    <xf numFmtId="178" fontId="217" fillId="73" borderId="127" xfId="3" applyNumberFormat="1" applyFont="1" applyFill="1" applyBorder="1" applyAlignment="1">
      <alignment horizontal="center" vertical="center" wrapText="1"/>
    </xf>
    <xf numFmtId="169" fontId="217" fillId="73" borderId="124" xfId="3" applyNumberFormat="1" applyFont="1" applyFill="1" applyBorder="1" applyAlignment="1">
      <alignment horizontal="center" vertical="center" wrapText="1"/>
    </xf>
    <xf numFmtId="0" fontId="218" fillId="0" borderId="135" xfId="37" applyFont="1" applyBorder="1" applyAlignment="1">
      <alignment horizontal="left"/>
    </xf>
    <xf numFmtId="0" fontId="218" fillId="0" borderId="122" xfId="37" applyFont="1" applyBorder="1" applyAlignment="1">
      <alignment horizontal="left"/>
    </xf>
    <xf numFmtId="0" fontId="219" fillId="0" borderId="122" xfId="37" applyFont="1" applyBorder="1" applyAlignment="1">
      <alignment wrapText="1"/>
    </xf>
    <xf numFmtId="14" fontId="206" fillId="0" borderId="122" xfId="37" applyNumberFormat="1" applyFont="1" applyBorder="1" applyAlignment="1">
      <alignment horizontal="center"/>
    </xf>
    <xf numFmtId="169" fontId="206" fillId="0" borderId="120" xfId="37" applyNumberFormat="1" applyFont="1" applyBorder="1" applyAlignment="1">
      <alignment horizontal="center"/>
    </xf>
    <xf numFmtId="169" fontId="206" fillId="0" borderId="128" xfId="47" applyNumberFormat="1" applyFont="1" applyFill="1" applyBorder="1" applyAlignment="1">
      <alignment horizontal="center"/>
    </xf>
    <xf numFmtId="178" fontId="206" fillId="0" borderId="0" xfId="37" applyNumberFormat="1" applyFont="1"/>
    <xf numFmtId="178" fontId="206" fillId="0" borderId="121" xfId="37" applyNumberFormat="1" applyFont="1" applyBorder="1" applyAlignment="1">
      <alignment horizontal="center"/>
    </xf>
    <xf numFmtId="169" fontId="206" fillId="0" borderId="120" xfId="3" applyNumberFormat="1" applyFont="1" applyBorder="1" applyAlignment="1">
      <alignment horizontal="center" vertical="center"/>
    </xf>
    <xf numFmtId="2" fontId="136" fillId="56" borderId="120" xfId="45" applyNumberFormat="1" applyFont="1" applyFill="1" applyBorder="1" applyAlignment="1">
      <alignment horizontal="left" vertical="center" wrapText="1" shrinkToFit="1"/>
    </xf>
    <xf numFmtId="2" fontId="136" fillId="56" borderId="124" xfId="3" applyNumberFormat="1" applyFont="1" applyFill="1" applyBorder="1" applyAlignment="1">
      <alignment horizontal="left" vertical="center" wrapText="1" shrinkToFit="1"/>
    </xf>
    <xf numFmtId="174" fontId="136" fillId="56" borderId="0" xfId="37" applyNumberFormat="1" applyFont="1" applyFill="1" applyAlignment="1">
      <alignment horizontal="center"/>
    </xf>
    <xf numFmtId="10" fontId="136" fillId="56" borderId="120" xfId="3" applyNumberFormat="1" applyFont="1" applyFill="1" applyBorder="1" applyAlignment="1">
      <alignment horizontal="center" vertical="center" wrapText="1"/>
    </xf>
    <xf numFmtId="10" fontId="136" fillId="56" borderId="120" xfId="47" applyNumberFormat="1" applyFont="1" applyFill="1" applyBorder="1" applyAlignment="1">
      <alignment horizontal="center" vertical="center" wrapText="1" shrinkToFit="1"/>
    </xf>
    <xf numFmtId="10" fontId="136" fillId="56" borderId="120" xfId="47" applyNumberFormat="1" applyFont="1" applyFill="1" applyBorder="1" applyAlignment="1">
      <alignment horizontal="center" vertical="center" wrapText="1"/>
    </xf>
    <xf numFmtId="10" fontId="136" fillId="56" borderId="128" xfId="47" applyNumberFormat="1" applyFont="1" applyFill="1" applyBorder="1" applyAlignment="1">
      <alignment horizontal="center" vertical="center" wrapText="1"/>
    </xf>
    <xf numFmtId="10" fontId="136" fillId="56" borderId="120" xfId="46" applyNumberFormat="1" applyFont="1" applyFill="1" applyBorder="1" applyAlignment="1">
      <alignment horizontal="center" wrapText="1"/>
    </xf>
    <xf numFmtId="169" fontId="136" fillId="56" borderId="120" xfId="46" applyNumberFormat="1" applyFont="1" applyFill="1" applyBorder="1" applyAlignment="1">
      <alignment horizontal="center" wrapText="1"/>
    </xf>
    <xf numFmtId="2" fontId="136" fillId="56" borderId="120" xfId="45" applyNumberFormat="1" applyFont="1" applyFill="1" applyBorder="1" applyAlignment="1">
      <alignment horizontal="left" vertical="center" shrinkToFit="1"/>
    </xf>
    <xf numFmtId="0" fontId="220" fillId="56" borderId="0" xfId="37" applyFont="1" applyFill="1" applyAlignment="1">
      <alignment horizontal="right"/>
    </xf>
    <xf numFmtId="169" fontId="136" fillId="56" borderId="124" xfId="3" applyNumberFormat="1" applyFont="1" applyFill="1" applyBorder="1" applyAlignment="1">
      <alignment horizontal="center" vertical="center" wrapText="1"/>
    </xf>
    <xf numFmtId="2" fontId="136" fillId="56" borderId="126" xfId="45" applyNumberFormat="1" applyFont="1" applyFill="1" applyBorder="1" applyAlignment="1">
      <alignment horizontal="left" vertical="center" shrinkToFit="1"/>
    </xf>
    <xf numFmtId="2" fontId="136" fillId="56" borderId="126" xfId="45" applyNumberFormat="1" applyFont="1" applyFill="1" applyBorder="1" applyAlignment="1">
      <alignment horizontal="left" vertical="center" wrapText="1" shrinkToFit="1"/>
    </xf>
    <xf numFmtId="2" fontId="206" fillId="0" borderId="120" xfId="45" applyNumberFormat="1" applyFont="1" applyBorder="1" applyAlignment="1">
      <alignment horizontal="left" vertical="center" wrapText="1" shrinkToFit="1"/>
    </xf>
    <xf numFmtId="10" fontId="206" fillId="0" borderId="121" xfId="45" applyNumberFormat="1" applyFont="1" applyBorder="1" applyAlignment="1">
      <alignment horizontal="left" vertical="center" shrinkToFit="1"/>
    </xf>
    <xf numFmtId="14" fontId="207" fillId="0" borderId="120" xfId="37" applyNumberFormat="1" applyFont="1" applyBorder="1" applyAlignment="1">
      <alignment horizontal="center" vertical="center" wrapText="1"/>
    </xf>
    <xf numFmtId="2" fontId="221" fillId="0" borderId="120" xfId="37" applyNumberFormat="1" applyFont="1" applyBorder="1" applyAlignment="1">
      <alignment horizontal="center" vertical="center" wrapText="1"/>
    </xf>
    <xf numFmtId="2" fontId="206" fillId="0" borderId="120" xfId="45" applyNumberFormat="1" applyFont="1" applyBorder="1" applyAlignment="1">
      <alignment horizontal="center" vertical="center" wrapText="1"/>
    </xf>
    <xf numFmtId="4" fontId="206" fillId="0" borderId="124" xfId="45" applyNumberFormat="1" applyFont="1" applyBorder="1" applyAlignment="1">
      <alignment horizontal="center" vertical="center" wrapText="1"/>
    </xf>
    <xf numFmtId="10" fontId="206" fillId="0" borderId="120" xfId="45" applyNumberFormat="1" applyFont="1" applyBorder="1" applyAlignment="1">
      <alignment horizontal="center" vertical="center" wrapText="1"/>
    </xf>
    <xf numFmtId="10" fontId="203" fillId="0" borderId="120" xfId="47" applyNumberFormat="1" applyFont="1" applyFill="1" applyBorder="1" applyAlignment="1" applyProtection="1">
      <alignment horizontal="center" wrapText="1"/>
    </xf>
    <xf numFmtId="10" fontId="214" fillId="56" borderId="116" xfId="37" applyNumberFormat="1" applyFont="1" applyFill="1" applyBorder="1" applyAlignment="1">
      <alignment horizontal="center" vertical="center"/>
    </xf>
    <xf numFmtId="10" fontId="136" fillId="56" borderId="116" xfId="37" applyNumberFormat="1" applyFont="1" applyFill="1" applyBorder="1" applyAlignment="1">
      <alignment horizontal="center" vertical="center" wrapText="1"/>
    </xf>
    <xf numFmtId="10" fontId="214" fillId="56" borderId="117" xfId="37" applyNumberFormat="1" applyFont="1" applyFill="1" applyBorder="1" applyAlignment="1">
      <alignment horizontal="center" vertical="center" wrapText="1"/>
    </xf>
    <xf numFmtId="4" fontId="136" fillId="56" borderId="117" xfId="37" applyNumberFormat="1" applyFont="1" applyFill="1" applyBorder="1" applyAlignment="1">
      <alignment horizontal="center" vertical="center" wrapText="1"/>
    </xf>
    <xf numFmtId="4" fontId="214" fillId="56" borderId="117" xfId="37" applyNumberFormat="1" applyFont="1" applyFill="1" applyBorder="1" applyAlignment="1">
      <alignment horizontal="center" vertical="center" wrapText="1"/>
    </xf>
    <xf numFmtId="203" fontId="214" fillId="56" borderId="117" xfId="37" applyNumberFormat="1" applyFont="1" applyFill="1" applyBorder="1" applyAlignment="1">
      <alignment horizontal="center" vertical="center" wrapText="1"/>
    </xf>
    <xf numFmtId="10" fontId="214" fillId="56" borderId="72" xfId="37" applyNumberFormat="1" applyFont="1" applyFill="1" applyBorder="1" applyAlignment="1">
      <alignment horizontal="center" vertical="center"/>
    </xf>
    <xf numFmtId="10" fontId="214" fillId="56" borderId="17" xfId="37" applyNumberFormat="1" applyFont="1" applyFill="1" applyBorder="1" applyAlignment="1">
      <alignment vertical="center" wrapText="1"/>
    </xf>
    <xf numFmtId="10" fontId="214" fillId="56" borderId="17" xfId="37" applyNumberFormat="1" applyFont="1" applyFill="1" applyBorder="1" applyAlignment="1">
      <alignment horizontal="center" vertical="center" wrapText="1"/>
    </xf>
    <xf numFmtId="4" fontId="136" fillId="56" borderId="17" xfId="37" applyNumberFormat="1" applyFont="1" applyFill="1" applyBorder="1" applyAlignment="1">
      <alignment horizontal="center" vertical="center" wrapText="1"/>
    </xf>
    <xf numFmtId="4" fontId="214" fillId="56" borderId="17" xfId="37" applyNumberFormat="1" applyFont="1" applyFill="1" applyBorder="1" applyAlignment="1">
      <alignment horizontal="center" vertical="center" wrapText="1"/>
    </xf>
    <xf numFmtId="203" fontId="210" fillId="56" borderId="17" xfId="37" applyNumberFormat="1" applyFont="1" applyFill="1" applyBorder="1" applyAlignment="1">
      <alignment horizontal="center" vertical="center" wrapText="1"/>
    </xf>
    <xf numFmtId="14" fontId="222" fillId="56" borderId="17" xfId="45" applyNumberFormat="1" applyFont="1" applyFill="1" applyBorder="1" applyAlignment="1">
      <alignment horizontal="center"/>
    </xf>
    <xf numFmtId="10" fontId="214" fillId="56" borderId="74" xfId="37" applyNumberFormat="1" applyFont="1" applyFill="1" applyBorder="1" applyAlignment="1">
      <alignment horizontal="center" vertical="center"/>
    </xf>
    <xf numFmtId="10" fontId="214" fillId="56" borderId="114" xfId="37" applyNumberFormat="1" applyFont="1" applyFill="1" applyBorder="1" applyAlignment="1">
      <alignment vertical="center" wrapText="1"/>
    </xf>
    <xf numFmtId="10" fontId="214" fillId="56" borderId="114" xfId="37" applyNumberFormat="1" applyFont="1" applyFill="1" applyBorder="1" applyAlignment="1">
      <alignment horizontal="center" vertical="center" wrapText="1"/>
    </xf>
    <xf numFmtId="4" fontId="136" fillId="56" borderId="114" xfId="37" applyNumberFormat="1" applyFont="1" applyFill="1" applyBorder="1" applyAlignment="1">
      <alignment horizontal="center" vertical="center" wrapText="1"/>
    </xf>
    <xf numFmtId="4" fontId="214" fillId="56" borderId="114" xfId="37" applyNumberFormat="1" applyFont="1" applyFill="1" applyBorder="1" applyAlignment="1">
      <alignment horizontal="center" vertical="center" wrapText="1"/>
    </xf>
    <xf numFmtId="203" fontId="210" fillId="56" borderId="114" xfId="37" applyNumberFormat="1" applyFont="1" applyFill="1" applyBorder="1" applyAlignment="1">
      <alignment horizontal="center" vertical="center" wrapText="1"/>
    </xf>
    <xf numFmtId="14" fontId="222" fillId="56" borderId="114" xfId="45" applyNumberFormat="1" applyFont="1" applyFill="1" applyBorder="1" applyAlignment="1">
      <alignment horizontal="center"/>
    </xf>
    <xf numFmtId="2" fontId="136" fillId="46" borderId="118" xfId="37" applyNumberFormat="1" applyFont="1" applyFill="1" applyBorder="1" applyAlignment="1">
      <alignment horizontal="center"/>
    </xf>
    <xf numFmtId="0" fontId="136" fillId="46" borderId="118" xfId="37" applyFont="1" applyFill="1" applyBorder="1"/>
    <xf numFmtId="4" fontId="136" fillId="46" borderId="118" xfId="37" applyNumberFormat="1" applyFont="1" applyFill="1" applyBorder="1" applyAlignment="1">
      <alignment horizontal="center"/>
    </xf>
    <xf numFmtId="10" fontId="136" fillId="46" borderId="118" xfId="37" applyNumberFormat="1" applyFont="1" applyFill="1" applyBorder="1" applyAlignment="1">
      <alignment horizontal="center"/>
    </xf>
    <xf numFmtId="10" fontId="214" fillId="46" borderId="118" xfId="46" applyNumberFormat="1" applyFont="1" applyFill="1" applyBorder="1" applyAlignment="1">
      <alignment horizontal="center"/>
    </xf>
    <xf numFmtId="2" fontId="136" fillId="46" borderId="118" xfId="46" applyNumberFormat="1" applyFont="1" applyFill="1" applyBorder="1" applyAlignment="1">
      <alignment horizontal="center"/>
    </xf>
    <xf numFmtId="2" fontId="136" fillId="46" borderId="118" xfId="45" applyNumberFormat="1" applyFont="1" applyFill="1" applyBorder="1" applyAlignment="1">
      <alignment horizontal="left" vertical="center" shrinkToFit="1"/>
    </xf>
    <xf numFmtId="10" fontId="136" fillId="46" borderId="119" xfId="45" applyNumberFormat="1" applyFont="1" applyFill="1" applyBorder="1" applyAlignment="1">
      <alignment horizontal="left" vertical="center" shrinkToFit="1"/>
    </xf>
    <xf numFmtId="10" fontId="213" fillId="56" borderId="121" xfId="37" applyNumberFormat="1" applyFont="1" applyFill="1" applyBorder="1" applyAlignment="1">
      <alignment horizontal="left"/>
    </xf>
    <xf numFmtId="2" fontId="136" fillId="56" borderId="120" xfId="37" applyNumberFormat="1" applyFont="1" applyFill="1" applyBorder="1" applyAlignment="1">
      <alignment horizontal="center"/>
    </xf>
    <xf numFmtId="0" fontId="136" fillId="56" borderId="120" xfId="37" applyFont="1" applyFill="1" applyBorder="1"/>
    <xf numFmtId="4" fontId="136" fillId="56" borderId="120" xfId="37" applyNumberFormat="1" applyFont="1" applyFill="1" applyBorder="1" applyAlignment="1">
      <alignment horizontal="center"/>
    </xf>
    <xf numFmtId="10" fontId="136" fillId="56" borderId="120" xfId="37" applyNumberFormat="1" applyFont="1" applyFill="1" applyBorder="1" applyAlignment="1">
      <alignment horizontal="center"/>
    </xf>
    <xf numFmtId="4" fontId="136" fillId="56" borderId="120" xfId="45" applyNumberFormat="1" applyFont="1" applyFill="1" applyBorder="1" applyAlignment="1">
      <alignment horizontal="center" vertical="center"/>
    </xf>
    <xf numFmtId="2" fontId="136" fillId="56" borderId="120" xfId="45" applyNumberFormat="1" applyFont="1" applyFill="1" applyBorder="1" applyAlignment="1">
      <alignment horizontal="center" vertical="center"/>
    </xf>
    <xf numFmtId="2" fontId="139" fillId="73" borderId="120" xfId="45" applyNumberFormat="1" applyFont="1" applyFill="1" applyBorder="1" applyAlignment="1">
      <alignment horizontal="left" vertical="center" wrapText="1" shrinkToFit="1"/>
    </xf>
    <xf numFmtId="10" fontId="139" fillId="73" borderId="121" xfId="45" applyNumberFormat="1" applyFont="1" applyFill="1" applyBorder="1" applyAlignment="1">
      <alignment horizontal="left" vertical="center" wrapText="1" shrinkToFit="1"/>
    </xf>
    <xf numFmtId="14" fontId="139" fillId="73" borderId="120" xfId="45" applyNumberFormat="1" applyFont="1" applyFill="1" applyBorder="1" applyAlignment="1">
      <alignment horizontal="center" vertical="center" wrapText="1" shrinkToFit="1"/>
    </xf>
    <xf numFmtId="2" fontId="139" fillId="73" borderId="120" xfId="45" applyNumberFormat="1" applyFont="1" applyFill="1" applyBorder="1" applyAlignment="1">
      <alignment horizontal="center" vertical="center" wrapText="1" shrinkToFit="1"/>
    </xf>
    <xf numFmtId="2" fontId="139" fillId="73" borderId="120" xfId="45" applyNumberFormat="1" applyFont="1" applyFill="1" applyBorder="1" applyAlignment="1">
      <alignment horizontal="center" vertical="center" wrapText="1"/>
    </xf>
    <xf numFmtId="4" fontId="139" fillId="73" borderId="120" xfId="45" applyNumberFormat="1" applyFont="1" applyFill="1" applyBorder="1" applyAlignment="1">
      <alignment horizontal="center" vertical="center" wrapText="1"/>
    </xf>
    <xf numFmtId="10" fontId="139" fillId="73" borderId="120" xfId="45" applyNumberFormat="1" applyFont="1" applyFill="1" applyBorder="1" applyAlignment="1">
      <alignment horizontal="center" vertical="center" wrapText="1"/>
    </xf>
    <xf numFmtId="10" fontId="217" fillId="73" borderId="120" xfId="46" applyNumberFormat="1" applyFont="1" applyFill="1" applyBorder="1" applyAlignment="1">
      <alignment horizontal="center" wrapText="1"/>
    </xf>
    <xf numFmtId="0" fontId="213" fillId="56" borderId="122" xfId="37" applyFont="1" applyFill="1" applyBorder="1" applyAlignment="1">
      <alignment horizontal="left"/>
    </xf>
    <xf numFmtId="10" fontId="213" fillId="56" borderId="123" xfId="37" applyNumberFormat="1" applyFont="1" applyFill="1" applyBorder="1" applyAlignment="1">
      <alignment horizontal="left"/>
    </xf>
    <xf numFmtId="0" fontId="215" fillId="56" borderId="122" xfId="37" applyFont="1" applyFill="1" applyBorder="1" applyAlignment="1">
      <alignment wrapText="1"/>
    </xf>
    <xf numFmtId="14" fontId="136" fillId="56" borderId="122" xfId="37" applyNumberFormat="1" applyFont="1" applyFill="1" applyBorder="1" applyAlignment="1">
      <alignment horizontal="center"/>
    </xf>
    <xf numFmtId="2" fontId="136" fillId="56" borderId="122" xfId="37" applyNumberFormat="1" applyFont="1" applyFill="1" applyBorder="1" applyAlignment="1">
      <alignment horizontal="center"/>
    </xf>
    <xf numFmtId="0" fontId="136" fillId="56" borderId="122" xfId="37" applyFont="1" applyFill="1" applyBorder="1"/>
    <xf numFmtId="4" fontId="136" fillId="56" borderId="122" xfId="37" applyNumberFormat="1" applyFont="1" applyFill="1" applyBorder="1" applyAlignment="1">
      <alignment horizontal="center"/>
    </xf>
    <xf numFmtId="10" fontId="136" fillId="56" borderId="122" xfId="37" applyNumberFormat="1" applyFont="1" applyFill="1" applyBorder="1" applyAlignment="1">
      <alignment horizontal="center"/>
    </xf>
    <xf numFmtId="4" fontId="136" fillId="56" borderId="122" xfId="45" applyNumberFormat="1" applyFont="1" applyFill="1" applyBorder="1" applyAlignment="1">
      <alignment horizontal="center" vertical="center"/>
    </xf>
    <xf numFmtId="2" fontId="136" fillId="56" borderId="122" xfId="45" applyNumberFormat="1" applyFont="1" applyFill="1" applyBorder="1" applyAlignment="1">
      <alignment horizontal="center" vertical="center"/>
    </xf>
    <xf numFmtId="2" fontId="207" fillId="0" borderId="120" xfId="3" applyNumberFormat="1" applyFont="1" applyBorder="1" applyAlignment="1">
      <alignment horizontal="left" vertical="center" wrapText="1" shrinkToFit="1"/>
    </xf>
    <xf numFmtId="2" fontId="206" fillId="0" borderId="120" xfId="3" applyNumberFormat="1" applyFont="1" applyBorder="1" applyAlignment="1">
      <alignment horizontal="center" vertical="center" wrapText="1"/>
    </xf>
    <xf numFmtId="2" fontId="203" fillId="0" borderId="120" xfId="47" applyNumberFormat="1" applyFont="1" applyFill="1" applyBorder="1" applyAlignment="1" applyProtection="1">
      <alignment horizontal="center" wrapText="1"/>
    </xf>
    <xf numFmtId="2" fontId="214" fillId="56" borderId="117" xfId="37" applyNumberFormat="1" applyFont="1" applyFill="1" applyBorder="1" applyAlignment="1">
      <alignment horizontal="center" vertical="center" wrapText="1"/>
    </xf>
    <xf numFmtId="10" fontId="214" fillId="56" borderId="129" xfId="37" applyNumberFormat="1" applyFont="1" applyFill="1" applyBorder="1" applyAlignment="1">
      <alignment horizontal="center" vertical="center"/>
    </xf>
    <xf numFmtId="10" fontId="214" fillId="56" borderId="130" xfId="37" applyNumberFormat="1" applyFont="1" applyFill="1" applyBorder="1" applyAlignment="1">
      <alignment vertical="center" wrapText="1"/>
    </xf>
    <xf numFmtId="10" fontId="214" fillId="56" borderId="130" xfId="37" applyNumberFormat="1" applyFont="1" applyFill="1" applyBorder="1" applyAlignment="1">
      <alignment horizontal="center" vertical="center" wrapText="1"/>
    </xf>
    <xf numFmtId="4" fontId="136" fillId="56" borderId="130" xfId="37" applyNumberFormat="1" applyFont="1" applyFill="1" applyBorder="1" applyAlignment="1">
      <alignment horizontal="center" vertical="center" wrapText="1"/>
    </xf>
    <xf numFmtId="2" fontId="214" fillId="56" borderId="130" xfId="37" applyNumberFormat="1" applyFont="1" applyFill="1" applyBorder="1" applyAlignment="1">
      <alignment horizontal="center" vertical="center" wrapText="1"/>
    </xf>
    <xf numFmtId="203" fontId="210" fillId="56" borderId="130" xfId="37" applyNumberFormat="1" applyFont="1" applyFill="1" applyBorder="1" applyAlignment="1">
      <alignment horizontal="center" vertical="center" wrapText="1"/>
    </xf>
    <xf numFmtId="14" fontId="222" fillId="56" borderId="130" xfId="3" applyNumberFormat="1" applyFont="1" applyFill="1" applyBorder="1" applyAlignment="1">
      <alignment horizontal="center"/>
    </xf>
    <xf numFmtId="10" fontId="214" fillId="56" borderId="131" xfId="37" applyNumberFormat="1" applyFont="1" applyFill="1" applyBorder="1" applyAlignment="1">
      <alignment horizontal="center" vertical="center"/>
    </xf>
    <xf numFmtId="10" fontId="214" fillId="56" borderId="132" xfId="37" applyNumberFormat="1" applyFont="1" applyFill="1" applyBorder="1" applyAlignment="1">
      <alignment vertical="center" wrapText="1"/>
    </xf>
    <xf numFmtId="10" fontId="214" fillId="56" borderId="132" xfId="37" applyNumberFormat="1" applyFont="1" applyFill="1" applyBorder="1" applyAlignment="1">
      <alignment horizontal="center" vertical="center" wrapText="1"/>
    </xf>
    <xf numFmtId="4" fontId="136" fillId="56" borderId="132" xfId="37" applyNumberFormat="1" applyFont="1" applyFill="1" applyBorder="1" applyAlignment="1">
      <alignment horizontal="center" vertical="center" wrapText="1"/>
    </xf>
    <xf numFmtId="2" fontId="214" fillId="56" borderId="132" xfId="37" applyNumberFormat="1" applyFont="1" applyFill="1" applyBorder="1" applyAlignment="1">
      <alignment horizontal="center" vertical="center" wrapText="1"/>
    </xf>
    <xf numFmtId="203" fontId="210" fillId="56" borderId="132" xfId="37" applyNumberFormat="1" applyFont="1" applyFill="1" applyBorder="1" applyAlignment="1">
      <alignment horizontal="center" vertical="center" wrapText="1"/>
    </xf>
    <xf numFmtId="14" fontId="222" fillId="56" borderId="132" xfId="3" applyNumberFormat="1" applyFont="1" applyFill="1" applyBorder="1" applyAlignment="1">
      <alignment horizontal="center"/>
    </xf>
    <xf numFmtId="2" fontId="136" fillId="46" borderId="118" xfId="37" applyNumberFormat="1" applyFont="1" applyFill="1" applyBorder="1"/>
    <xf numFmtId="2" fontId="136" fillId="56" borderId="120" xfId="37" applyNumberFormat="1" applyFont="1" applyFill="1" applyBorder="1"/>
    <xf numFmtId="4" fontId="136" fillId="56" borderId="120" xfId="3" applyNumberFormat="1" applyFont="1" applyFill="1" applyBorder="1" applyAlignment="1">
      <alignment horizontal="center" vertical="center"/>
    </xf>
    <xf numFmtId="2" fontId="136" fillId="56" borderId="120" xfId="3" applyNumberFormat="1" applyFont="1" applyFill="1" applyBorder="1" applyAlignment="1">
      <alignment horizontal="center" vertical="center"/>
    </xf>
    <xf numFmtId="2" fontId="139" fillId="73" borderId="134" xfId="3" applyNumberFormat="1" applyFont="1" applyFill="1" applyBorder="1" applyAlignment="1">
      <alignment horizontal="left" vertical="center" wrapText="1" shrinkToFit="1"/>
    </xf>
    <xf numFmtId="2" fontId="139" fillId="73" borderId="120" xfId="3" applyNumberFormat="1" applyFont="1" applyFill="1" applyBorder="1" applyAlignment="1">
      <alignment horizontal="left" vertical="center" wrapText="1" shrinkToFit="1"/>
    </xf>
    <xf numFmtId="14" fontId="139" fillId="73" borderId="120" xfId="3" applyNumberFormat="1" applyFont="1" applyFill="1" applyBorder="1" applyAlignment="1">
      <alignment horizontal="center" vertical="center" wrapText="1" shrinkToFit="1"/>
    </xf>
    <xf numFmtId="2" fontId="139" fillId="73" borderId="120" xfId="3" applyNumberFormat="1" applyFont="1" applyFill="1" applyBorder="1" applyAlignment="1">
      <alignment horizontal="center" vertical="center" wrapText="1" shrinkToFit="1"/>
    </xf>
    <xf numFmtId="2" fontId="139" fillId="73" borderId="120" xfId="3" applyNumberFormat="1" applyFont="1" applyFill="1" applyBorder="1" applyAlignment="1">
      <alignment horizontal="center" vertical="center" wrapText="1"/>
    </xf>
    <xf numFmtId="10" fontId="139" fillId="73" borderId="120" xfId="3" applyNumberFormat="1" applyFont="1" applyFill="1" applyBorder="1" applyAlignment="1">
      <alignment horizontal="center" vertical="center" wrapText="1"/>
    </xf>
    <xf numFmtId="2" fontId="217" fillId="73" borderId="120" xfId="46" applyNumberFormat="1" applyFont="1" applyFill="1" applyBorder="1" applyAlignment="1">
      <alignment horizontal="center" wrapText="1"/>
    </xf>
    <xf numFmtId="0" fontId="213" fillId="56" borderId="135" xfId="37" applyFont="1" applyFill="1" applyBorder="1" applyAlignment="1">
      <alignment horizontal="left"/>
    </xf>
    <xf numFmtId="2" fontId="136" fillId="56" borderId="122" xfId="37" applyNumberFormat="1" applyFont="1" applyFill="1" applyBorder="1"/>
    <xf numFmtId="4" fontId="136" fillId="56" borderId="122" xfId="3" applyNumberFormat="1" applyFont="1" applyFill="1" applyBorder="1" applyAlignment="1">
      <alignment horizontal="center" vertical="center"/>
    </xf>
    <xf numFmtId="2" fontId="136" fillId="56" borderId="122" xfId="3" applyNumberFormat="1" applyFont="1" applyFill="1" applyBorder="1" applyAlignment="1">
      <alignment horizontal="center" vertical="center"/>
    </xf>
    <xf numFmtId="203" fontId="210" fillId="56" borderId="117" xfId="37" applyNumberFormat="1" applyFont="1" applyFill="1" applyBorder="1" applyAlignment="1">
      <alignment vertical="center" wrapText="1"/>
    </xf>
    <xf numFmtId="178" fontId="136" fillId="56" borderId="130" xfId="37" applyNumberFormat="1" applyFont="1" applyFill="1" applyBorder="1" applyAlignment="1">
      <alignment vertical="center" wrapText="1"/>
    </xf>
    <xf numFmtId="178" fontId="136" fillId="56" borderId="130" xfId="37" applyNumberFormat="1" applyFont="1" applyFill="1" applyBorder="1" applyAlignment="1">
      <alignment horizontal="center" vertical="center" wrapText="1"/>
    </xf>
    <xf numFmtId="203" fontId="210" fillId="56" borderId="130" xfId="37" applyNumberFormat="1" applyFont="1" applyFill="1" applyBorder="1" applyAlignment="1">
      <alignment vertical="center" wrapText="1"/>
    </xf>
    <xf numFmtId="178" fontId="136" fillId="56" borderId="132" xfId="37" applyNumberFormat="1" applyFont="1" applyFill="1" applyBorder="1" applyAlignment="1">
      <alignment vertical="center" wrapText="1"/>
    </xf>
    <xf numFmtId="178" fontId="136" fillId="56" borderId="132" xfId="37" applyNumberFormat="1" applyFont="1" applyFill="1" applyBorder="1" applyAlignment="1">
      <alignment horizontal="center" vertical="center" wrapText="1"/>
    </xf>
    <xf numFmtId="203" fontId="210" fillId="56" borderId="132" xfId="37" applyNumberFormat="1" applyFont="1" applyFill="1" applyBorder="1" applyAlignment="1">
      <alignment vertical="center" wrapText="1"/>
    </xf>
    <xf numFmtId="178" fontId="136" fillId="46" borderId="122" xfId="37" applyNumberFormat="1" applyFont="1" applyFill="1" applyBorder="1" applyAlignment="1">
      <alignment horizontal="center"/>
    </xf>
    <xf numFmtId="178" fontId="136" fillId="56" borderId="125" xfId="37" applyNumberFormat="1" applyFont="1" applyFill="1" applyBorder="1" applyAlignment="1">
      <alignment horizontal="center"/>
    </xf>
    <xf numFmtId="178" fontId="136" fillId="56" borderId="124" xfId="37" applyNumberFormat="1" applyFont="1" applyFill="1" applyBorder="1" applyAlignment="1">
      <alignment horizontal="center"/>
    </xf>
    <xf numFmtId="0" fontId="223" fillId="56" borderId="0" xfId="37" applyFont="1" applyFill="1" applyAlignment="1">
      <alignment horizontal="left"/>
    </xf>
    <xf numFmtId="0" fontId="220" fillId="56" borderId="0" xfId="37" applyFont="1" applyFill="1"/>
    <xf numFmtId="4" fontId="220" fillId="56" borderId="0" xfId="37" applyNumberFormat="1" applyFont="1" applyFill="1"/>
    <xf numFmtId="0" fontId="137" fillId="50" borderId="0" xfId="0" applyFont="1" applyFill="1" applyAlignment="1">
      <alignment horizontal="center" wrapText="1"/>
    </xf>
    <xf numFmtId="0" fontId="224" fillId="0" borderId="36" xfId="55" applyFont="1" applyBorder="1" applyAlignment="1">
      <alignment wrapText="1"/>
    </xf>
    <xf numFmtId="0" fontId="224" fillId="0" borderId="0" xfId="55" applyFont="1" applyAlignment="1">
      <alignment wrapText="1"/>
    </xf>
    <xf numFmtId="0" fontId="224" fillId="0" borderId="39" xfId="55" applyFont="1" applyBorder="1" applyAlignment="1">
      <alignment wrapText="1"/>
    </xf>
    <xf numFmtId="0" fontId="225" fillId="0" borderId="39" xfId="55" applyFont="1" applyBorder="1"/>
    <xf numFmtId="0" fontId="200" fillId="0" borderId="39" xfId="55" applyFont="1" applyBorder="1"/>
    <xf numFmtId="1" fontId="183" fillId="6" borderId="130" xfId="50" applyNumberFormat="1" applyFont="1" applyFill="1" applyBorder="1" applyAlignment="1">
      <alignment horizontal="center" vertical="center"/>
    </xf>
    <xf numFmtId="209" fontId="220" fillId="56" borderId="0" xfId="37" applyNumberFormat="1" applyFont="1" applyFill="1"/>
    <xf numFmtId="180" fontId="136" fillId="56" borderId="120" xfId="3" applyNumberFormat="1" applyFont="1" applyFill="1" applyBorder="1" applyAlignment="1">
      <alignment horizontal="center" vertical="center"/>
    </xf>
    <xf numFmtId="0" fontId="226" fillId="0" borderId="134" xfId="37" applyFont="1" applyBorder="1" applyAlignment="1">
      <alignment horizontal="left"/>
    </xf>
    <xf numFmtId="0" fontId="226" fillId="0" borderId="120" xfId="37" applyFont="1" applyBorder="1" applyAlignment="1">
      <alignment horizontal="left"/>
    </xf>
    <xf numFmtId="0" fontId="227" fillId="0" borderId="120" xfId="37" applyFont="1" applyBorder="1"/>
    <xf numFmtId="178" fontId="228" fillId="0" borderId="125" xfId="37" applyNumberFormat="1" applyFont="1" applyBorder="1" applyAlignment="1">
      <alignment horizontal="center"/>
    </xf>
    <xf numFmtId="178" fontId="228" fillId="0" borderId="124" xfId="37" applyNumberFormat="1" applyFont="1" applyBorder="1" applyAlignment="1">
      <alignment horizontal="center"/>
    </xf>
    <xf numFmtId="4" fontId="228" fillId="0" borderId="120" xfId="3" applyNumberFormat="1" applyFont="1" applyBorder="1" applyAlignment="1">
      <alignment horizontal="center" vertical="center"/>
    </xf>
    <xf numFmtId="180" fontId="228" fillId="0" borderId="120" xfId="3" applyNumberFormat="1" applyFont="1" applyBorder="1" applyAlignment="1">
      <alignment horizontal="center" vertical="center"/>
    </xf>
    <xf numFmtId="0" fontId="229" fillId="73" borderId="134" xfId="37" applyFont="1" applyFill="1" applyBorder="1" applyAlignment="1">
      <alignment horizontal="left"/>
    </xf>
    <xf numFmtId="0" fontId="229" fillId="73" borderId="120" xfId="37" applyFont="1" applyFill="1" applyBorder="1" applyAlignment="1">
      <alignment horizontal="left"/>
    </xf>
    <xf numFmtId="0" fontId="230" fillId="73" borderId="120" xfId="37" applyFont="1" applyFill="1" applyBorder="1"/>
    <xf numFmtId="178" fontId="231" fillId="73" borderId="125" xfId="37" applyNumberFormat="1" applyFont="1" applyFill="1" applyBorder="1" applyAlignment="1">
      <alignment horizontal="center"/>
    </xf>
    <xf numFmtId="178" fontId="231" fillId="73" borderId="124" xfId="37" applyNumberFormat="1" applyFont="1" applyFill="1" applyBorder="1" applyAlignment="1">
      <alignment horizontal="center"/>
    </xf>
    <xf numFmtId="4" fontId="231" fillId="73" borderId="120" xfId="3" applyNumberFormat="1" applyFont="1" applyFill="1" applyBorder="1" applyAlignment="1">
      <alignment horizontal="center" vertical="center"/>
    </xf>
    <xf numFmtId="180" fontId="231" fillId="73" borderId="120" xfId="3" applyNumberFormat="1" applyFont="1" applyFill="1" applyBorder="1" applyAlignment="1">
      <alignment horizontal="center" vertical="center"/>
    </xf>
    <xf numFmtId="0" fontId="1" fillId="0" borderId="0" xfId="51"/>
    <xf numFmtId="199" fontId="144" fillId="0" borderId="108" xfId="51" applyNumberFormat="1" applyFont="1" applyBorder="1"/>
    <xf numFmtId="199" fontId="144" fillId="0" borderId="108" xfId="51" applyNumberFormat="1" applyFont="1" applyBorder="1" applyAlignment="1">
      <alignment horizontal="center" vertical="center"/>
    </xf>
    <xf numFmtId="199" fontId="1" fillId="0" borderId="0" xfId="51" applyNumberFormat="1"/>
    <xf numFmtId="0" fontId="1" fillId="23" borderId="39" xfId="51" applyFill="1" applyBorder="1" applyAlignment="1">
      <alignment horizontal="center"/>
    </xf>
    <xf numFmtId="0" fontId="145" fillId="23" borderId="40" xfId="51" applyFont="1" applyFill="1" applyBorder="1" applyAlignment="1">
      <alignment horizontal="center"/>
    </xf>
    <xf numFmtId="0" fontId="146" fillId="23" borderId="39" xfId="51" applyFont="1" applyFill="1" applyBorder="1" applyAlignment="1">
      <alignment horizontal="right"/>
    </xf>
    <xf numFmtId="0" fontId="146" fillId="23" borderId="0" xfId="51" applyFont="1" applyFill="1" applyAlignment="1">
      <alignment horizontal="right"/>
    </xf>
    <xf numFmtId="0" fontId="66" fillId="23" borderId="0" xfId="51" applyFont="1" applyFill="1" applyAlignment="1">
      <alignment horizontal="left"/>
    </xf>
    <xf numFmtId="0" fontId="147" fillId="23" borderId="0" xfId="51" applyFont="1" applyFill="1" applyAlignment="1">
      <alignment vertical="top" wrapText="1"/>
    </xf>
    <xf numFmtId="0" fontId="1" fillId="23" borderId="40" xfId="51" applyFill="1" applyBorder="1"/>
    <xf numFmtId="199" fontId="144" fillId="23" borderId="108" xfId="51" applyNumberFormat="1" applyFont="1" applyFill="1" applyBorder="1" applyAlignment="1">
      <alignment horizontal="center" vertical="center"/>
    </xf>
    <xf numFmtId="0" fontId="66" fillId="23" borderId="0" xfId="51" applyFont="1" applyFill="1"/>
    <xf numFmtId="199" fontId="144" fillId="0" borderId="108" xfId="51" applyNumberFormat="1" applyFont="1" applyBorder="1" applyAlignment="1">
      <alignment horizontal="center"/>
    </xf>
    <xf numFmtId="0" fontId="1" fillId="23" borderId="39" xfId="51" applyFill="1" applyBorder="1" applyAlignment="1">
      <alignment horizontal="right"/>
    </xf>
    <xf numFmtId="0" fontId="1" fillId="23" borderId="0" xfId="51" applyFill="1" applyAlignment="1">
      <alignment horizontal="right"/>
    </xf>
    <xf numFmtId="0" fontId="1" fillId="23" borderId="0" xfId="51" applyFill="1" applyAlignment="1">
      <alignment horizontal="left"/>
    </xf>
    <xf numFmtId="0" fontId="66" fillId="23" borderId="0" xfId="51" applyFont="1" applyFill="1" applyAlignment="1">
      <alignment horizontal="right"/>
    </xf>
    <xf numFmtId="14" fontId="66" fillId="23" borderId="0" xfId="51" applyNumberFormat="1" applyFont="1" applyFill="1" applyAlignment="1">
      <alignment horizontal="left"/>
    </xf>
    <xf numFmtId="0" fontId="66" fillId="23" borderId="0" xfId="51" applyFont="1" applyFill="1" applyAlignment="1">
      <alignment horizontal="center"/>
    </xf>
    <xf numFmtId="0" fontId="66" fillId="23" borderId="39" xfId="51" applyFont="1" applyFill="1" applyBorder="1"/>
    <xf numFmtId="15" fontId="150" fillId="0" borderId="130" xfId="38" applyNumberFormat="1" applyFont="1" applyBorder="1" applyAlignment="1">
      <alignment horizontal="center" vertical="center"/>
    </xf>
    <xf numFmtId="0" fontId="150" fillId="0" borderId="130" xfId="38" applyFont="1" applyBorder="1" applyAlignment="1">
      <alignment horizontal="center" vertical="center"/>
    </xf>
    <xf numFmtId="0" fontId="1" fillId="23" borderId="39" xfId="51" applyFill="1" applyBorder="1"/>
    <xf numFmtId="0" fontId="151" fillId="0" borderId="130" xfId="38" applyFont="1" applyBorder="1" applyAlignment="1">
      <alignment horizontal="center" vertical="center"/>
    </xf>
    <xf numFmtId="0" fontId="151" fillId="0" borderId="130" xfId="38" applyFont="1" applyBorder="1" applyAlignment="1">
      <alignment horizontal="center" vertical="center" wrapText="1"/>
    </xf>
    <xf numFmtId="0" fontId="1" fillId="23" borderId="41" xfId="51" applyFill="1" applyBorder="1"/>
    <xf numFmtId="0" fontId="1" fillId="23" borderId="42" xfId="51" applyFill="1" applyBorder="1"/>
    <xf numFmtId="0" fontId="1" fillId="23" borderId="43" xfId="51" applyFill="1" applyBorder="1"/>
    <xf numFmtId="0" fontId="70" fillId="23" borderId="0" xfId="45" applyFont="1" applyFill="1" applyAlignment="1">
      <alignment horizontal="centerContinuous" vertical="center"/>
    </xf>
    <xf numFmtId="0" fontId="70" fillId="23" borderId="0" xfId="45" applyFont="1" applyFill="1" applyAlignment="1">
      <alignment horizontal="center" vertical="center"/>
    </xf>
    <xf numFmtId="10" fontId="70" fillId="23" borderId="0" xfId="56" applyNumberFormat="1" applyFont="1" applyFill="1" applyAlignment="1">
      <alignment horizontal="centerContinuous" vertical="center"/>
    </xf>
    <xf numFmtId="4" fontId="58" fillId="23" borderId="0" xfId="45" applyNumberFormat="1" applyFont="1" applyFill="1" applyAlignment="1">
      <alignment horizontal="center" vertical="center"/>
    </xf>
    <xf numFmtId="0" fontId="1" fillId="23" borderId="0" xfId="51" applyFill="1" applyAlignment="1">
      <alignment vertical="center"/>
    </xf>
    <xf numFmtId="0" fontId="232" fillId="23" borderId="0" xfId="39" applyFont="1" applyFill="1" applyAlignment="1">
      <alignment horizontal="centerContinuous" vertical="center"/>
    </xf>
    <xf numFmtId="0" fontId="1" fillId="23" borderId="0" xfId="51" applyFill="1" applyAlignment="1">
      <alignment vertical="center" wrapText="1"/>
    </xf>
    <xf numFmtId="0" fontId="1" fillId="0" borderId="0" xfId="51" applyAlignment="1">
      <alignment vertical="center"/>
    </xf>
    <xf numFmtId="0" fontId="232" fillId="23" borderId="0" xfId="39" applyFont="1" applyFill="1" applyAlignment="1">
      <alignment horizontal="left" vertical="top"/>
    </xf>
    <xf numFmtId="0" fontId="70" fillId="23" borderId="0" xfId="45" applyFont="1" applyFill="1" applyAlignment="1">
      <alignment horizontal="left" vertical="top"/>
    </xf>
    <xf numFmtId="0" fontId="70" fillId="23" borderId="0" xfId="45" applyFont="1" applyFill="1" applyAlignment="1">
      <alignment horizontal="center" vertical="center" wrapText="1"/>
    </xf>
    <xf numFmtId="2" fontId="70" fillId="23" borderId="0" xfId="45" applyNumberFormat="1" applyFont="1" applyFill="1" applyAlignment="1">
      <alignment horizontal="centerContinuous" vertical="center"/>
    </xf>
    <xf numFmtId="1" fontId="70" fillId="23" borderId="0" xfId="45" applyNumberFormat="1" applyFont="1" applyFill="1" applyAlignment="1">
      <alignment horizontal="centerContinuous" vertical="center"/>
    </xf>
    <xf numFmtId="169" fontId="70" fillId="23" borderId="0" xfId="45" applyNumberFormat="1" applyFont="1" applyFill="1" applyAlignment="1">
      <alignment horizontal="left" vertical="top"/>
    </xf>
    <xf numFmtId="10" fontId="70" fillId="23" borderId="0" xfId="45" applyNumberFormat="1" applyFont="1" applyFill="1" applyAlignment="1">
      <alignment horizontal="centerContinuous" vertical="center"/>
    </xf>
    <xf numFmtId="169" fontId="70" fillId="23" borderId="0" xfId="45" applyNumberFormat="1" applyFont="1" applyFill="1" applyAlignment="1">
      <alignment horizontal="centerContinuous" vertical="center"/>
    </xf>
    <xf numFmtId="199" fontId="70" fillId="23" borderId="0" xfId="45" applyNumberFormat="1" applyFont="1" applyFill="1" applyAlignment="1">
      <alignment horizontal="center" vertical="center"/>
    </xf>
    <xf numFmtId="0" fontId="70" fillId="23" borderId="130" xfId="45" applyFont="1" applyFill="1" applyBorder="1" applyAlignment="1">
      <alignment horizontal="center" vertical="center" wrapText="1"/>
    </xf>
    <xf numFmtId="4" fontId="70" fillId="23" borderId="130" xfId="45" applyNumberFormat="1" applyFont="1" applyFill="1" applyBorder="1" applyAlignment="1">
      <alignment horizontal="center" vertical="center" wrapText="1"/>
    </xf>
    <xf numFmtId="0" fontId="70" fillId="23" borderId="130" xfId="45" applyFont="1" applyFill="1" applyBorder="1" applyAlignment="1">
      <alignment horizontal="centerContinuous" vertical="center"/>
    </xf>
    <xf numFmtId="4" fontId="70" fillId="23" borderId="130" xfId="45" applyNumberFormat="1" applyFont="1" applyFill="1" applyBorder="1" applyAlignment="1">
      <alignment horizontal="center" vertical="center"/>
    </xf>
    <xf numFmtId="0" fontId="73" fillId="0" borderId="0" xfId="51" applyFont="1" applyAlignment="1">
      <alignment vertical="center"/>
    </xf>
    <xf numFmtId="0" fontId="73" fillId="0" borderId="0" xfId="51" applyFont="1" applyAlignment="1">
      <alignment vertical="center" wrapText="1"/>
    </xf>
    <xf numFmtId="4" fontId="58" fillId="23" borderId="130" xfId="45" applyNumberFormat="1" applyFont="1" applyFill="1" applyBorder="1" applyAlignment="1">
      <alignment horizontal="center" vertical="center"/>
    </xf>
    <xf numFmtId="0" fontId="51" fillId="0" borderId="138" xfId="45" applyFont="1" applyBorder="1" applyAlignment="1">
      <alignment horizontal="center" vertical="center"/>
    </xf>
    <xf numFmtId="4" fontId="174" fillId="0" borderId="138" xfId="45" applyNumberFormat="1" applyFont="1" applyBorder="1" applyAlignment="1">
      <alignment horizontal="center" vertical="center"/>
    </xf>
    <xf numFmtId="0" fontId="152" fillId="0" borderId="75" xfId="45" applyFont="1" applyBorder="1" applyAlignment="1">
      <alignment horizontal="center" vertical="center"/>
    </xf>
    <xf numFmtId="0" fontId="152" fillId="0" borderId="113" xfId="45" applyFont="1" applyBorder="1" applyAlignment="1">
      <alignment horizontal="center" vertical="center"/>
    </xf>
    <xf numFmtId="0" fontId="177" fillId="0" borderId="105" xfId="45" applyFont="1" applyBorder="1" applyAlignment="1">
      <alignment horizontal="center" vertical="center"/>
    </xf>
    <xf numFmtId="211" fontId="9" fillId="0" borderId="75" xfId="45" applyNumberFormat="1" applyFont="1" applyBorder="1" applyAlignment="1">
      <alignment horizontal="center" vertical="center" wrapText="1"/>
    </xf>
    <xf numFmtId="0" fontId="9" fillId="0" borderId="107" xfId="45" applyFont="1" applyBorder="1" applyAlignment="1">
      <alignment horizontal="center" vertical="center" wrapText="1"/>
    </xf>
    <xf numFmtId="211" fontId="9" fillId="0" borderId="106" xfId="45" applyNumberFormat="1" applyFont="1" applyBorder="1" applyAlignment="1">
      <alignment horizontal="center" vertical="center" wrapText="1"/>
    </xf>
    <xf numFmtId="0" fontId="177" fillId="0" borderId="36" xfId="45" applyFont="1" applyBorder="1" applyAlignment="1">
      <alignment horizontal="center" vertical="center" wrapText="1"/>
    </xf>
    <xf numFmtId="10" fontId="9" fillId="0" borderId="113" xfId="56" applyNumberFormat="1" applyFont="1" applyBorder="1" applyAlignment="1">
      <alignment horizontal="center" vertical="center" wrapText="1"/>
    </xf>
    <xf numFmtId="0" fontId="177" fillId="0" borderId="113" xfId="45" applyFont="1" applyBorder="1" applyAlignment="1">
      <alignment horizontal="center" vertical="center"/>
    </xf>
    <xf numFmtId="0" fontId="177" fillId="0" borderId="105" xfId="45" applyFont="1" applyBorder="1" applyAlignment="1">
      <alignment horizontal="center" vertical="center" wrapText="1"/>
    </xf>
    <xf numFmtId="0" fontId="9" fillId="0" borderId="106" xfId="45" applyFont="1" applyBorder="1" applyAlignment="1">
      <alignment horizontal="center" vertical="center"/>
    </xf>
    <xf numFmtId="0" fontId="9" fillId="0" borderId="105" xfId="45" applyFont="1" applyBorder="1" applyAlignment="1">
      <alignment horizontal="center" vertical="center"/>
    </xf>
    <xf numFmtId="15" fontId="51" fillId="0" borderId="117" xfId="45" applyNumberFormat="1" applyFont="1" applyBorder="1" applyAlignment="1">
      <alignment horizontal="center" vertical="center" textRotation="90"/>
    </xf>
    <xf numFmtId="0" fontId="9" fillId="0" borderId="117" xfId="45" applyFont="1" applyBorder="1" applyAlignment="1">
      <alignment horizontal="center" vertical="center" wrapText="1"/>
    </xf>
    <xf numFmtId="4" fontId="58" fillId="0" borderId="117" xfId="45" applyNumberFormat="1" applyFont="1" applyBorder="1" applyAlignment="1">
      <alignment horizontal="center" vertical="center" wrapText="1"/>
    </xf>
    <xf numFmtId="0" fontId="51" fillId="0" borderId="117" xfId="45" applyFont="1" applyBorder="1" applyAlignment="1">
      <alignment horizontal="center" vertical="center" wrapText="1"/>
    </xf>
    <xf numFmtId="0" fontId="51" fillId="0" borderId="117" xfId="45" applyFont="1" applyBorder="1" applyAlignment="1">
      <alignment horizontal="center" vertical="center"/>
    </xf>
    <xf numFmtId="0" fontId="66" fillId="0" borderId="0" xfId="51" applyFont="1" applyAlignment="1">
      <alignment horizontal="center" vertical="center"/>
    </xf>
    <xf numFmtId="2" fontId="173" fillId="12" borderId="38" xfId="45" applyNumberFormat="1" applyFont="1" applyFill="1" applyBorder="1" applyAlignment="1">
      <alignment horizontal="center" vertical="center"/>
    </xf>
    <xf numFmtId="2" fontId="173" fillId="12" borderId="37" xfId="45" applyNumberFormat="1" applyFont="1" applyFill="1" applyBorder="1" applyAlignment="1">
      <alignment horizontal="center" vertical="center"/>
    </xf>
    <xf numFmtId="175" fontId="73" fillId="23" borderId="130" xfId="51" applyNumberFormat="1" applyFont="1" applyFill="1" applyBorder="1" applyAlignment="1">
      <alignment horizontal="center" vertical="center"/>
    </xf>
    <xf numFmtId="10" fontId="235" fillId="38" borderId="130" xfId="57" applyNumberFormat="1" applyFont="1" applyFill="1" applyBorder="1" applyAlignment="1">
      <alignment horizontal="center" vertical="center"/>
    </xf>
    <xf numFmtId="43" fontId="50" fillId="38" borderId="130" xfId="57" applyFont="1" applyFill="1" applyBorder="1" applyAlignment="1">
      <alignment horizontal="center" vertical="center"/>
    </xf>
    <xf numFmtId="10" fontId="235" fillId="38" borderId="130" xfId="56" applyNumberFormat="1" applyFont="1" applyFill="1" applyBorder="1" applyAlignment="1">
      <alignment horizontal="center" vertical="center"/>
    </xf>
    <xf numFmtId="43" fontId="173" fillId="75" borderId="130" xfId="58" applyFont="1" applyFill="1" applyBorder="1" applyAlignment="1">
      <alignment horizontal="left" vertical="center" wrapText="1"/>
    </xf>
    <xf numFmtId="10" fontId="235" fillId="75" borderId="130" xfId="58" applyNumberFormat="1" applyFont="1" applyFill="1" applyBorder="1" applyAlignment="1">
      <alignment horizontal="center" vertical="center" wrapText="1"/>
    </xf>
    <xf numFmtId="175" fontId="73" fillId="23" borderId="132" xfId="51" applyNumberFormat="1" applyFont="1" applyFill="1" applyBorder="1" applyAlignment="1">
      <alignment horizontal="center" vertical="center"/>
    </xf>
    <xf numFmtId="10" fontId="235" fillId="75" borderId="132" xfId="58" applyNumberFormat="1" applyFont="1" applyFill="1" applyBorder="1" applyAlignment="1">
      <alignment horizontal="center" vertical="center" wrapText="1"/>
    </xf>
    <xf numFmtId="0" fontId="51" fillId="0" borderId="132" xfId="45" applyFont="1" applyBorder="1" applyAlignment="1">
      <alignment horizontal="center" vertical="center"/>
    </xf>
    <xf numFmtId="10" fontId="0" fillId="0" borderId="0" xfId="56" applyNumberFormat="1" applyFont="1"/>
    <xf numFmtId="4" fontId="174" fillId="0" borderId="0" xfId="51" applyNumberFormat="1" applyFont="1" applyAlignment="1">
      <alignment horizontal="center" vertical="center"/>
    </xf>
    <xf numFmtId="0" fontId="1" fillId="0" borderId="0" xfId="51" applyAlignment="1">
      <alignment horizontal="center"/>
    </xf>
    <xf numFmtId="175" fontId="73" fillId="23" borderId="0" xfId="51" applyNumberFormat="1" applyFont="1" applyFill="1" applyAlignment="1">
      <alignment horizontal="center"/>
    </xf>
    <xf numFmtId="175" fontId="73" fillId="23" borderId="0" xfId="51" applyNumberFormat="1" applyFont="1" applyFill="1" applyAlignment="1">
      <alignment horizontal="right"/>
    </xf>
    <xf numFmtId="10" fontId="0" fillId="0" borderId="0" xfId="56" applyNumberFormat="1" applyFont="1" applyAlignment="1">
      <alignment vertical="center"/>
    </xf>
    <xf numFmtId="0" fontId="73" fillId="0" borderId="0" xfId="51" applyFont="1"/>
    <xf numFmtId="0" fontId="177" fillId="77" borderId="0" xfId="45" applyFont="1" applyFill="1" applyAlignment="1">
      <alignment horizontal="center" vertical="center" wrapText="1"/>
    </xf>
    <xf numFmtId="0" fontId="177" fillId="77" borderId="0" xfId="45" applyFont="1" applyFill="1" applyAlignment="1">
      <alignment horizontal="right" vertical="center" wrapText="1"/>
    </xf>
    <xf numFmtId="10" fontId="177" fillId="77" borderId="0" xfId="45" applyNumberFormat="1" applyFont="1" applyFill="1" applyAlignment="1">
      <alignment horizontal="center" vertical="center" wrapText="1"/>
    </xf>
    <xf numFmtId="0" fontId="51" fillId="0" borderId="0" xfId="45" applyFont="1" applyAlignment="1">
      <alignment vertical="center"/>
    </xf>
    <xf numFmtId="0" fontId="51" fillId="0" borderId="0" xfId="45" applyFont="1" applyAlignment="1">
      <alignment horizontal="center" vertical="center"/>
    </xf>
    <xf numFmtId="0" fontId="51" fillId="0" borderId="0" xfId="45" applyFont="1" applyAlignment="1">
      <alignment vertical="center" wrapText="1"/>
    </xf>
    <xf numFmtId="0" fontId="177" fillId="0" borderId="0" xfId="45" applyFont="1" applyAlignment="1">
      <alignment horizontal="center" vertical="center" wrapText="1"/>
    </xf>
    <xf numFmtId="0" fontId="177" fillId="0" borderId="0" xfId="45" applyFont="1" applyAlignment="1">
      <alignment horizontal="right" vertical="center" wrapText="1"/>
    </xf>
    <xf numFmtId="10" fontId="177" fillId="0" borderId="0" xfId="45" applyNumberFormat="1" applyFont="1" applyAlignment="1">
      <alignment horizontal="center" vertical="center" wrapText="1"/>
    </xf>
    <xf numFmtId="0" fontId="51" fillId="0" borderId="0" xfId="45" applyFont="1" applyAlignment="1">
      <alignment horizontal="center" vertical="center" wrapText="1"/>
    </xf>
    <xf numFmtId="0" fontId="51" fillId="0" borderId="0" xfId="45" applyFont="1" applyAlignment="1">
      <alignment horizontal="right" vertical="center" wrapText="1"/>
    </xf>
    <xf numFmtId="10" fontId="51" fillId="0" borderId="0" xfId="45" applyNumberFormat="1" applyFont="1" applyAlignment="1">
      <alignment horizontal="center" vertical="center"/>
    </xf>
    <xf numFmtId="212" fontId="51" fillId="78" borderId="38" xfId="59" applyNumberFormat="1" applyFont="1" applyFill="1" applyBorder="1" applyAlignment="1">
      <alignment horizontal="center" vertical="center"/>
    </xf>
    <xf numFmtId="212" fontId="51" fillId="78" borderId="105" xfId="59" applyNumberFormat="1" applyFont="1" applyFill="1" applyBorder="1" applyAlignment="1">
      <alignment horizontal="center" vertical="center"/>
    </xf>
    <xf numFmtId="212" fontId="51" fillId="78" borderId="107" xfId="59" applyNumberFormat="1" applyFont="1" applyFill="1" applyBorder="1" applyAlignment="1">
      <alignment horizontal="center" vertical="center"/>
    </xf>
    <xf numFmtId="212" fontId="51" fillId="78" borderId="40" xfId="59" applyNumberFormat="1" applyFont="1" applyFill="1" applyBorder="1" applyAlignment="1">
      <alignment horizontal="center" vertical="center"/>
    </xf>
    <xf numFmtId="212" fontId="51" fillId="78" borderId="0" xfId="59" applyNumberFormat="1" applyFont="1" applyFill="1" applyBorder="1" applyAlignment="1">
      <alignment horizontal="center" vertical="center"/>
    </xf>
    <xf numFmtId="0" fontId="177" fillId="0" borderId="0" xfId="45" applyFont="1" applyAlignment="1">
      <alignment horizontal="center" vertical="center"/>
    </xf>
    <xf numFmtId="10" fontId="177" fillId="0" borderId="0" xfId="45" applyNumberFormat="1" applyFont="1" applyAlignment="1">
      <alignment horizontal="center" vertical="center"/>
    </xf>
    <xf numFmtId="0" fontId="51" fillId="0" borderId="131" xfId="45" applyFont="1" applyBorder="1" applyAlignment="1">
      <alignment horizontal="center" vertical="center"/>
    </xf>
    <xf numFmtId="0" fontId="51" fillId="0" borderId="161" xfId="45" applyFont="1" applyBorder="1" applyAlignment="1">
      <alignment horizontal="center" vertical="center"/>
    </xf>
    <xf numFmtId="212" fontId="51" fillId="78" borderId="164" xfId="59" applyNumberFormat="1" applyFont="1" applyFill="1" applyBorder="1" applyAlignment="1">
      <alignment horizontal="center" vertical="center" textRotation="90"/>
    </xf>
    <xf numFmtId="212" fontId="51" fillId="78" borderId="165" xfId="59" applyNumberFormat="1" applyFont="1" applyFill="1" applyBorder="1" applyAlignment="1">
      <alignment horizontal="center" vertical="center" textRotation="90"/>
    </xf>
    <xf numFmtId="0" fontId="51" fillId="0" borderId="166" xfId="45" applyFont="1" applyBorder="1" applyAlignment="1">
      <alignment horizontal="center" vertical="center"/>
    </xf>
    <xf numFmtId="0" fontId="51" fillId="0" borderId="167" xfId="45" applyFont="1" applyBorder="1" applyAlignment="1">
      <alignment horizontal="center" vertical="center"/>
    </xf>
    <xf numFmtId="0" fontId="51" fillId="0" borderId="168" xfId="45" applyFont="1" applyBorder="1" applyAlignment="1">
      <alignment horizontal="center" vertical="center"/>
    </xf>
    <xf numFmtId="212" fontId="51" fillId="78" borderId="169" xfId="59" applyNumberFormat="1" applyFont="1" applyFill="1" applyBorder="1" applyAlignment="1">
      <alignment horizontal="center" vertical="center" textRotation="90"/>
    </xf>
    <xf numFmtId="0" fontId="53" fillId="79" borderId="44" xfId="45" applyFont="1" applyFill="1" applyBorder="1" applyAlignment="1">
      <alignment horizontal="center" vertical="center"/>
    </xf>
    <xf numFmtId="0" fontId="53" fillId="79" borderId="155" xfId="45" applyFont="1" applyFill="1" applyBorder="1" applyAlignment="1">
      <alignment horizontal="center" vertical="center"/>
    </xf>
    <xf numFmtId="0" fontId="53" fillId="79" borderId="47" xfId="45" applyFont="1" applyFill="1" applyBorder="1" applyAlignment="1">
      <alignment horizontal="center" vertical="center"/>
    </xf>
    <xf numFmtId="15" fontId="51" fillId="0" borderId="170" xfId="45" applyNumberFormat="1" applyFont="1" applyBorder="1" applyAlignment="1">
      <alignment horizontal="center" vertical="center" textRotation="90"/>
    </xf>
    <xf numFmtId="15" fontId="51" fillId="0" borderId="171" xfId="45" applyNumberFormat="1" applyFont="1" applyBorder="1" applyAlignment="1">
      <alignment horizontal="center" vertical="center" textRotation="90"/>
    </xf>
    <xf numFmtId="212" fontId="177" fillId="78" borderId="172" xfId="59" applyNumberFormat="1" applyFont="1" applyFill="1" applyBorder="1" applyAlignment="1">
      <alignment horizontal="center" vertical="center" textRotation="90" wrapText="1"/>
    </xf>
    <xf numFmtId="15" fontId="51" fillId="0" borderId="173" xfId="45" applyNumberFormat="1" applyFont="1" applyBorder="1" applyAlignment="1">
      <alignment horizontal="center" vertical="center" textRotation="90"/>
    </xf>
    <xf numFmtId="215" fontId="53" fillId="81" borderId="155" xfId="45" applyNumberFormat="1" applyFont="1" applyFill="1" applyBorder="1" applyAlignment="1">
      <alignment horizontal="center" vertical="center" textRotation="90"/>
    </xf>
    <xf numFmtId="3" fontId="51" fillId="0" borderId="0" xfId="45" applyNumberFormat="1" applyFont="1" applyAlignment="1">
      <alignment vertical="center"/>
    </xf>
    <xf numFmtId="10" fontId="237" fillId="12" borderId="118" xfId="51" applyNumberFormat="1" applyFont="1" applyFill="1" applyBorder="1"/>
    <xf numFmtId="175" fontId="73" fillId="23" borderId="130" xfId="51" applyNumberFormat="1" applyFont="1" applyFill="1" applyBorder="1" applyAlignment="1">
      <alignment horizontal="center" vertical="center" wrapText="1"/>
    </xf>
    <xf numFmtId="175" fontId="73" fillId="23" borderId="130" xfId="51" applyNumberFormat="1" applyFont="1" applyFill="1" applyBorder="1" applyAlignment="1">
      <alignment horizontal="left" vertical="top" wrapText="1"/>
    </xf>
    <xf numFmtId="175" fontId="73" fillId="23" borderId="132" xfId="51" applyNumberFormat="1" applyFont="1" applyFill="1" applyBorder="1" applyAlignment="1">
      <alignment horizontal="left" vertical="top" wrapText="1"/>
    </xf>
    <xf numFmtId="10" fontId="235" fillId="75" borderId="0" xfId="58" applyNumberFormat="1" applyFont="1" applyFill="1" applyBorder="1" applyAlignment="1">
      <alignment horizontal="center" vertical="center" wrapText="1"/>
    </xf>
    <xf numFmtId="175" fontId="73" fillId="23" borderId="0" xfId="51" applyNumberFormat="1" applyFont="1" applyFill="1" applyAlignment="1">
      <alignment horizontal="center" vertical="center"/>
    </xf>
    <xf numFmtId="175" fontId="73" fillId="23" borderId="0" xfId="51" applyNumberFormat="1" applyFont="1" applyFill="1" applyAlignment="1">
      <alignment horizontal="left" vertical="top" wrapText="1"/>
    </xf>
    <xf numFmtId="0" fontId="238" fillId="0" borderId="0" xfId="51" applyFont="1"/>
    <xf numFmtId="0" fontId="79" fillId="0" borderId="0" xfId="51" applyFont="1"/>
    <xf numFmtId="0" fontId="239" fillId="23" borderId="0" xfId="60" applyFont="1" applyFill="1"/>
    <xf numFmtId="0" fontId="240" fillId="23" borderId="0" xfId="45" applyFont="1" applyFill="1" applyAlignment="1">
      <alignment vertical="center"/>
    </xf>
    <xf numFmtId="0" fontId="240" fillId="23" borderId="0" xfId="45" applyFont="1" applyFill="1" applyAlignment="1">
      <alignment horizontal="left" vertical="center"/>
    </xf>
    <xf numFmtId="0" fontId="241" fillId="23" borderId="0" xfId="39" applyFont="1" applyFill="1" applyAlignment="1">
      <alignment horizontal="center" vertical="center"/>
    </xf>
    <xf numFmtId="0" fontId="241" fillId="0" borderId="0" xfId="39" applyFont="1" applyAlignment="1">
      <alignment wrapText="1"/>
    </xf>
    <xf numFmtId="0" fontId="241" fillId="0" borderId="0" xfId="39" applyFont="1"/>
    <xf numFmtId="0" fontId="239" fillId="23" borderId="0" xfId="39" applyFont="1" applyFill="1" applyAlignment="1">
      <alignment horizontal="left" vertical="center"/>
    </xf>
    <xf numFmtId="0" fontId="242" fillId="23" borderId="0" xfId="39" applyFont="1" applyFill="1" applyAlignment="1">
      <alignment vertical="center"/>
    </xf>
    <xf numFmtId="0" fontId="242" fillId="23" borderId="0" xfId="39" applyFont="1" applyFill="1" applyAlignment="1">
      <alignment horizontal="center" vertical="center"/>
    </xf>
    <xf numFmtId="0" fontId="241" fillId="23" borderId="0" xfId="39" applyFont="1" applyFill="1" applyAlignment="1">
      <alignment horizontal="left" vertical="center"/>
    </xf>
    <xf numFmtId="216" fontId="242" fillId="23" borderId="0" xfId="39" applyNumberFormat="1" applyFont="1" applyFill="1" applyAlignment="1">
      <alignment horizontal="center" vertical="center"/>
    </xf>
    <xf numFmtId="0" fontId="239" fillId="23" borderId="0" xfId="45" applyFont="1" applyFill="1" applyAlignment="1">
      <alignment vertical="center"/>
    </xf>
    <xf numFmtId="0" fontId="239" fillId="23" borderId="0" xfId="45" applyFont="1" applyFill="1" applyAlignment="1">
      <alignment horizontal="left" vertical="center"/>
    </xf>
    <xf numFmtId="0" fontId="239" fillId="23" borderId="0" xfId="45" applyFont="1" applyFill="1" applyAlignment="1">
      <alignment horizontal="right" vertical="center"/>
    </xf>
    <xf numFmtId="14" fontId="239" fillId="23" borderId="0" xfId="45" applyNumberFormat="1" applyFont="1" applyFill="1" applyAlignment="1">
      <alignment vertical="center"/>
    </xf>
    <xf numFmtId="212" fontId="244" fillId="23" borderId="0" xfId="61" applyNumberFormat="1" applyFont="1" applyFill="1" applyBorder="1" applyAlignment="1">
      <alignment horizontal="center" vertical="center"/>
    </xf>
    <xf numFmtId="0" fontId="239" fillId="0" borderId="0" xfId="39" applyFont="1" applyAlignment="1">
      <alignment wrapText="1"/>
    </xf>
    <xf numFmtId="0" fontId="239" fillId="0" borderId="0" xfId="39" applyFont="1"/>
    <xf numFmtId="0" fontId="239" fillId="0" borderId="36" xfId="60" applyFont="1" applyBorder="1" applyAlignment="1">
      <alignment vertical="center"/>
    </xf>
    <xf numFmtId="49" fontId="239" fillId="16" borderId="54" xfId="45" applyNumberFormat="1" applyFont="1" applyFill="1" applyBorder="1" applyAlignment="1">
      <alignment horizontal="left" vertical="center"/>
    </xf>
    <xf numFmtId="0" fontId="239" fillId="23" borderId="0" xfId="39" applyFont="1" applyFill="1" applyAlignment="1">
      <alignment horizontal="right" vertical="center"/>
    </xf>
    <xf numFmtId="216" fontId="239" fillId="23" borderId="0" xfId="60" applyNumberFormat="1" applyFont="1" applyFill="1" applyAlignment="1">
      <alignment horizontal="center" vertical="center"/>
    </xf>
    <xf numFmtId="216" fontId="239" fillId="23" borderId="0" xfId="60" applyNumberFormat="1" applyFont="1" applyFill="1" applyAlignment="1">
      <alignment horizontal="centerContinuous" vertical="center"/>
    </xf>
    <xf numFmtId="0" fontId="239" fillId="23" borderId="0" xfId="60" applyFont="1" applyFill="1" applyAlignment="1">
      <alignment vertical="center"/>
    </xf>
    <xf numFmtId="0" fontId="239" fillId="35" borderId="130" xfId="60" applyFont="1" applyFill="1" applyBorder="1" applyAlignment="1">
      <alignment horizontal="center" vertical="center"/>
    </xf>
    <xf numFmtId="14" fontId="239" fillId="35" borderId="130" xfId="60" applyNumberFormat="1" applyFont="1" applyFill="1" applyBorder="1" applyAlignment="1">
      <alignment horizontal="center" vertical="center" wrapText="1"/>
    </xf>
    <xf numFmtId="14" fontId="239" fillId="35" borderId="130" xfId="60" applyNumberFormat="1" applyFont="1" applyFill="1" applyBorder="1" applyAlignment="1">
      <alignment horizontal="left" vertical="center" wrapText="1"/>
    </xf>
    <xf numFmtId="212" fontId="239" fillId="35" borderId="130" xfId="61" applyNumberFormat="1" applyFont="1" applyFill="1" applyBorder="1" applyAlignment="1">
      <alignment horizontal="center" vertical="center" wrapText="1"/>
    </xf>
    <xf numFmtId="0" fontId="239" fillId="0" borderId="0" xfId="39" applyFont="1" applyAlignment="1">
      <alignment vertical="center"/>
    </xf>
    <xf numFmtId="0" fontId="239" fillId="0" borderId="0" xfId="60" applyFont="1" applyAlignment="1">
      <alignment vertical="center"/>
    </xf>
    <xf numFmtId="14" fontId="244" fillId="0" borderId="130" xfId="60" applyNumberFormat="1" applyFont="1" applyBorder="1" applyAlignment="1">
      <alignment horizontal="center" vertical="center" wrapText="1"/>
    </xf>
    <xf numFmtId="0" fontId="244" fillId="0" borderId="130" xfId="60" applyFont="1" applyBorder="1" applyAlignment="1">
      <alignment horizontal="center" vertical="center" wrapText="1"/>
    </xf>
    <xf numFmtId="217" fontId="244" fillId="0" borderId="130" xfId="60" applyNumberFormat="1" applyFont="1" applyBorder="1" applyAlignment="1">
      <alignment horizontal="center" vertical="center" wrapText="1"/>
    </xf>
    <xf numFmtId="14" fontId="244" fillId="0" borderId="130" xfId="60" applyNumberFormat="1" applyFont="1" applyBorder="1" applyAlignment="1">
      <alignment horizontal="left" vertical="center" wrapText="1"/>
    </xf>
    <xf numFmtId="0" fontId="239" fillId="0" borderId="130" xfId="39" applyFont="1" applyBorder="1" applyAlignment="1">
      <alignment vertical="center" wrapText="1"/>
    </xf>
    <xf numFmtId="0" fontId="239" fillId="0" borderId="130" xfId="39" applyFont="1" applyBorder="1" applyAlignment="1">
      <alignment vertical="center"/>
    </xf>
    <xf numFmtId="14" fontId="244" fillId="19" borderId="130" xfId="60" applyNumberFormat="1" applyFont="1" applyFill="1" applyBorder="1" applyAlignment="1">
      <alignment horizontal="center" vertical="center" wrapText="1"/>
    </xf>
    <xf numFmtId="0" fontId="242" fillId="23" borderId="0" xfId="39" applyFont="1" applyFill="1"/>
    <xf numFmtId="0" fontId="242" fillId="0" borderId="0" xfId="39" applyFont="1"/>
    <xf numFmtId="0" fontId="242" fillId="0" borderId="0" xfId="39" applyFont="1" applyAlignment="1">
      <alignment horizontal="left"/>
    </xf>
    <xf numFmtId="0" fontId="242" fillId="0" borderId="0" xfId="39" applyFont="1" applyAlignment="1">
      <alignment wrapText="1"/>
    </xf>
    <xf numFmtId="0" fontId="219" fillId="0" borderId="175" xfId="51" applyFont="1" applyBorder="1"/>
    <xf numFmtId="2" fontId="249" fillId="0" borderId="175" xfId="51" applyNumberFormat="1" applyFont="1" applyBorder="1" applyAlignment="1">
      <alignment horizontal="center"/>
    </xf>
    <xf numFmtId="0" fontId="219" fillId="0" borderId="175" xfId="51" applyFont="1" applyBorder="1" applyAlignment="1">
      <alignment wrapText="1"/>
    </xf>
    <xf numFmtId="2" fontId="249" fillId="0" borderId="175" xfId="3" applyNumberFormat="1" applyFont="1" applyBorder="1" applyAlignment="1">
      <alignment horizontal="left" vertical="center" wrapText="1" shrinkToFit="1"/>
    </xf>
    <xf numFmtId="2" fontId="249" fillId="0" borderId="175" xfId="3" applyNumberFormat="1" applyFont="1" applyBorder="1" applyAlignment="1">
      <alignment horizontal="center" vertical="center" wrapText="1"/>
    </xf>
    <xf numFmtId="2" fontId="249" fillId="0" borderId="175" xfId="45" applyNumberFormat="1" applyFont="1" applyBorder="1" applyAlignment="1">
      <alignment horizontal="left" vertical="center" wrapText="1" shrinkToFit="1"/>
    </xf>
    <xf numFmtId="0" fontId="233" fillId="12" borderId="36" xfId="45" applyFont="1" applyFill="1" applyBorder="1" applyAlignment="1">
      <alignment horizontal="center" vertical="center"/>
    </xf>
    <xf numFmtId="0" fontId="233" fillId="12" borderId="37" xfId="45" applyFont="1" applyFill="1" applyBorder="1" applyAlignment="1">
      <alignment horizontal="center" vertical="center"/>
    </xf>
    <xf numFmtId="0" fontId="234" fillId="12" borderId="37" xfId="45" applyFont="1" applyFill="1" applyBorder="1" applyAlignment="1">
      <alignment horizontal="center" vertical="center"/>
    </xf>
    <xf numFmtId="0" fontId="233" fillId="12" borderId="36" xfId="45" applyFont="1" applyFill="1" applyBorder="1" applyAlignment="1">
      <alignment horizontal="center" vertical="center" wrapText="1"/>
    </xf>
    <xf numFmtId="0" fontId="233" fillId="12" borderId="37" xfId="45" applyFont="1" applyFill="1" applyBorder="1" applyAlignment="1">
      <alignment horizontal="center" vertical="center" wrapText="1"/>
    </xf>
    <xf numFmtId="0" fontId="234" fillId="12" borderId="36" xfId="45" applyFont="1" applyFill="1" applyBorder="1" applyAlignment="1">
      <alignment horizontal="center" vertical="center"/>
    </xf>
    <xf numFmtId="10" fontId="53" fillId="12" borderId="37" xfId="45" applyNumberFormat="1" applyFont="1" applyFill="1" applyBorder="1" applyAlignment="1">
      <alignment horizontal="center" vertical="center" wrapText="1"/>
    </xf>
    <xf numFmtId="175" fontId="175" fillId="12" borderId="138" xfId="51" applyNumberFormat="1" applyFont="1" applyFill="1" applyBorder="1" applyAlignment="1">
      <alignment horizontal="center" vertical="center"/>
    </xf>
    <xf numFmtId="2" fontId="249" fillId="0" borderId="176" xfId="45" applyNumberFormat="1" applyFont="1" applyBorder="1" applyAlignment="1">
      <alignment horizontal="left" vertical="center" wrapText="1" shrinkToFit="1"/>
    </xf>
    <xf numFmtId="2" fontId="249" fillId="0" borderId="176" xfId="3" applyNumberFormat="1" applyFont="1" applyBorder="1" applyAlignment="1">
      <alignment horizontal="center" vertical="center" wrapText="1"/>
    </xf>
    <xf numFmtId="0" fontId="204" fillId="82" borderId="175" xfId="51" applyFont="1" applyFill="1" applyBorder="1"/>
    <xf numFmtId="2" fontId="250" fillId="82" borderId="175" xfId="51" applyNumberFormat="1" applyFont="1" applyFill="1" applyBorder="1" applyAlignment="1">
      <alignment horizontal="center"/>
    </xf>
    <xf numFmtId="0" fontId="204" fillId="82" borderId="175" xfId="51" applyFont="1" applyFill="1" applyBorder="1" applyAlignment="1">
      <alignment wrapText="1"/>
    </xf>
    <xf numFmtId="2" fontId="250" fillId="82" borderId="175" xfId="3" applyNumberFormat="1" applyFont="1" applyFill="1" applyBorder="1" applyAlignment="1">
      <alignment horizontal="left" vertical="center" wrapText="1" shrinkToFit="1"/>
    </xf>
    <xf numFmtId="2" fontId="250" fillId="82" borderId="175" xfId="3" applyNumberFormat="1" applyFont="1" applyFill="1" applyBorder="1" applyAlignment="1">
      <alignment horizontal="center" vertical="center" wrapText="1"/>
    </xf>
    <xf numFmtId="2" fontId="250" fillId="82" borderId="175" xfId="45" applyNumberFormat="1" applyFont="1" applyFill="1" applyBorder="1" applyAlignment="1">
      <alignment horizontal="left" vertical="center" wrapText="1" shrinkToFit="1"/>
    </xf>
    <xf numFmtId="2" fontId="250" fillId="46" borderId="136" xfId="51" applyNumberFormat="1" applyFont="1" applyFill="1" applyBorder="1" applyAlignment="1">
      <alignment horizontal="center"/>
    </xf>
    <xf numFmtId="2" fontId="250" fillId="46" borderId="177" xfId="3" applyNumberFormat="1" applyFont="1" applyFill="1" applyBorder="1" applyAlignment="1">
      <alignment horizontal="center" vertical="center" shrinkToFit="1"/>
    </xf>
    <xf numFmtId="0" fontId="204" fillId="82" borderId="178" xfId="51" applyFont="1" applyFill="1" applyBorder="1" applyAlignment="1">
      <alignment horizontal="center"/>
    </xf>
    <xf numFmtId="2" fontId="249" fillId="0" borderId="178" xfId="3" applyNumberFormat="1" applyFont="1" applyBorder="1" applyAlignment="1">
      <alignment horizontal="center" vertical="center" shrinkToFit="1"/>
    </xf>
    <xf numFmtId="0" fontId="219" fillId="0" borderId="178" xfId="51" applyFont="1" applyBorder="1" applyAlignment="1">
      <alignment horizontal="center"/>
    </xf>
    <xf numFmtId="2" fontId="250" fillId="82" borderId="178" xfId="3" applyNumberFormat="1" applyFont="1" applyFill="1" applyBorder="1" applyAlignment="1">
      <alignment horizontal="center" vertical="center" shrinkToFit="1"/>
    </xf>
    <xf numFmtId="0" fontId="219" fillId="0" borderId="178" xfId="51" applyFont="1" applyBorder="1" applyAlignment="1">
      <alignment horizontal="center" wrapText="1"/>
    </xf>
    <xf numFmtId="2" fontId="249" fillId="0" borderId="178" xfId="45" applyNumberFormat="1" applyFont="1" applyBorder="1" applyAlignment="1">
      <alignment horizontal="center" vertical="center" shrinkToFit="1"/>
    </xf>
    <xf numFmtId="2" fontId="250" fillId="82" borderId="178" xfId="45" applyNumberFormat="1" applyFont="1" applyFill="1" applyBorder="1" applyAlignment="1">
      <alignment horizontal="center" vertical="center" shrinkToFit="1"/>
    </xf>
    <xf numFmtId="2" fontId="249" fillId="0" borderId="181" xfId="45" applyNumberFormat="1" applyFont="1" applyBorder="1" applyAlignment="1">
      <alignment horizontal="center" vertical="center" shrinkToFit="1"/>
    </xf>
    <xf numFmtId="0" fontId="250" fillId="46" borderId="136" xfId="51" applyFont="1" applyFill="1" applyBorder="1" applyAlignment="1">
      <alignment horizontal="center"/>
    </xf>
    <xf numFmtId="0" fontId="250" fillId="82" borderId="175" xfId="51" applyFont="1" applyFill="1" applyBorder="1" applyAlignment="1">
      <alignment horizontal="center"/>
    </xf>
    <xf numFmtId="0" fontId="249" fillId="0" borderId="175" xfId="51" applyFont="1" applyBorder="1" applyAlignment="1">
      <alignment horizontal="center"/>
    </xf>
    <xf numFmtId="0" fontId="219" fillId="0" borderId="175" xfId="51" applyFont="1" applyBorder="1" applyAlignment="1">
      <alignment horizontal="center"/>
    </xf>
    <xf numFmtId="0" fontId="204" fillId="46" borderId="136" xfId="51" applyFont="1" applyFill="1" applyBorder="1" applyAlignment="1">
      <alignment horizontal="left"/>
    </xf>
    <xf numFmtId="0" fontId="204" fillId="82" borderId="175" xfId="51" applyFont="1" applyFill="1" applyBorder="1" applyAlignment="1">
      <alignment horizontal="left"/>
    </xf>
    <xf numFmtId="0" fontId="204" fillId="82" borderId="175" xfId="51" applyFont="1" applyFill="1" applyBorder="1" applyAlignment="1">
      <alignment horizontal="left" wrapText="1"/>
    </xf>
    <xf numFmtId="0" fontId="219" fillId="0" borderId="175" xfId="51" applyFont="1" applyBorder="1" applyAlignment="1">
      <alignment horizontal="left"/>
    </xf>
    <xf numFmtId="0" fontId="219" fillId="0" borderId="175" xfId="51" applyFont="1" applyBorder="1" applyAlignment="1">
      <alignment horizontal="left" wrapText="1"/>
    </xf>
    <xf numFmtId="197" fontId="250" fillId="46" borderId="136" xfId="51" applyNumberFormat="1" applyFont="1" applyFill="1" applyBorder="1" applyAlignment="1">
      <alignment horizontal="center"/>
    </xf>
    <xf numFmtId="197" fontId="250" fillId="82" borderId="175" xfId="51" applyNumberFormat="1" applyFont="1" applyFill="1" applyBorder="1" applyAlignment="1">
      <alignment horizontal="center"/>
    </xf>
    <xf numFmtId="197" fontId="249" fillId="0" borderId="175" xfId="3" applyNumberFormat="1" applyFont="1" applyBorder="1" applyAlignment="1">
      <alignment horizontal="center" vertical="center" wrapText="1"/>
    </xf>
    <xf numFmtId="197" fontId="249" fillId="0" borderId="175" xfId="51" applyNumberFormat="1" applyFont="1" applyBorder="1" applyAlignment="1">
      <alignment horizontal="center"/>
    </xf>
    <xf numFmtId="197" fontId="250" fillId="82" borderId="175" xfId="3" applyNumberFormat="1" applyFont="1" applyFill="1" applyBorder="1" applyAlignment="1">
      <alignment horizontal="center" vertical="center" wrapText="1"/>
    </xf>
    <xf numFmtId="197" fontId="219" fillId="0" borderId="175" xfId="51" applyNumberFormat="1" applyFont="1" applyBorder="1" applyAlignment="1">
      <alignment horizontal="center" vertical="center"/>
    </xf>
    <xf numFmtId="197" fontId="249" fillId="0" borderId="176" xfId="3" applyNumberFormat="1" applyFont="1" applyBorder="1" applyAlignment="1">
      <alignment horizontal="center" vertical="center" wrapText="1"/>
    </xf>
    <xf numFmtId="197" fontId="219" fillId="0" borderId="175" xfId="51" applyNumberFormat="1" applyFont="1" applyBorder="1" applyAlignment="1">
      <alignment horizontal="center"/>
    </xf>
    <xf numFmtId="195" fontId="250" fillId="46" borderId="136" xfId="51" applyNumberFormat="1" applyFont="1" applyFill="1" applyBorder="1" applyAlignment="1">
      <alignment horizontal="center"/>
    </xf>
    <xf numFmtId="195" fontId="250" fillId="82" borderId="175" xfId="51" applyNumberFormat="1" applyFont="1" applyFill="1" applyBorder="1" applyAlignment="1">
      <alignment horizontal="center"/>
    </xf>
    <xf numFmtId="195" fontId="249" fillId="0" borderId="175" xfId="3" applyNumberFormat="1" applyFont="1" applyBorder="1" applyAlignment="1">
      <alignment horizontal="center" vertical="center" wrapText="1"/>
    </xf>
    <xf numFmtId="195" fontId="249" fillId="0" borderId="175" xfId="51" applyNumberFormat="1" applyFont="1" applyBorder="1" applyAlignment="1">
      <alignment horizontal="center"/>
    </xf>
    <xf numFmtId="195" fontId="250" fillId="82" borderId="175" xfId="3" applyNumberFormat="1" applyFont="1" applyFill="1" applyBorder="1" applyAlignment="1">
      <alignment horizontal="center" vertical="center" wrapText="1"/>
    </xf>
    <xf numFmtId="195" fontId="219" fillId="0" borderId="175" xfId="51" applyNumberFormat="1" applyFont="1" applyBorder="1" applyAlignment="1">
      <alignment horizontal="center"/>
    </xf>
    <xf numFmtId="195" fontId="249" fillId="0" borderId="176" xfId="3" applyNumberFormat="1" applyFont="1" applyBorder="1" applyAlignment="1">
      <alignment horizontal="center" vertical="center" wrapText="1"/>
    </xf>
    <xf numFmtId="195" fontId="249" fillId="0" borderId="175" xfId="56" applyNumberFormat="1" applyFont="1" applyFill="1" applyBorder="1" applyAlignment="1">
      <alignment horizontal="center"/>
    </xf>
    <xf numFmtId="195" fontId="219" fillId="0" borderId="175" xfId="51" applyNumberFormat="1" applyFont="1" applyBorder="1" applyAlignment="1">
      <alignment horizontal="center" vertical="center"/>
    </xf>
    <xf numFmtId="219" fontId="250" fillId="46" borderId="136" xfId="51" applyNumberFormat="1" applyFont="1" applyFill="1" applyBorder="1" applyAlignment="1">
      <alignment horizontal="center"/>
    </xf>
    <xf numFmtId="219" fontId="250" fillId="82" borderId="175" xfId="51" applyNumberFormat="1" applyFont="1" applyFill="1" applyBorder="1" applyAlignment="1">
      <alignment horizontal="center"/>
    </xf>
    <xf numFmtId="219" fontId="249" fillId="0" borderId="175" xfId="3" applyNumberFormat="1" applyFont="1" applyBorder="1" applyAlignment="1">
      <alignment horizontal="center" vertical="center" wrapText="1"/>
    </xf>
    <xf numFmtId="219" fontId="249" fillId="0" borderId="175" xfId="51" applyNumberFormat="1" applyFont="1" applyBorder="1" applyAlignment="1">
      <alignment horizontal="center"/>
    </xf>
    <xf numFmtId="219" fontId="250" fillId="82" borderId="175" xfId="3" applyNumberFormat="1" applyFont="1" applyFill="1" applyBorder="1" applyAlignment="1">
      <alignment horizontal="center" vertical="center" wrapText="1"/>
    </xf>
    <xf numFmtId="219" fontId="219" fillId="0" borderId="175" xfId="51" applyNumberFormat="1" applyFont="1" applyBorder="1" applyAlignment="1">
      <alignment horizontal="center" vertical="center"/>
    </xf>
    <xf numFmtId="219" fontId="249" fillId="0" borderId="176" xfId="3" applyNumberFormat="1" applyFont="1" applyBorder="1" applyAlignment="1">
      <alignment horizontal="center" vertical="center" wrapText="1"/>
    </xf>
    <xf numFmtId="197" fontId="204" fillId="46" borderId="136" xfId="51" applyNumberFormat="1" applyFont="1" applyFill="1" applyBorder="1" applyAlignment="1">
      <alignment horizontal="center" vertical="center"/>
    </xf>
    <xf numFmtId="197" fontId="204" fillId="82" borderId="175" xfId="51" applyNumberFormat="1" applyFont="1" applyFill="1" applyBorder="1" applyAlignment="1">
      <alignment horizontal="center" vertical="center"/>
    </xf>
    <xf numFmtId="0" fontId="219" fillId="0" borderId="175" xfId="51" applyFont="1" applyBorder="1" applyAlignment="1">
      <alignment horizontal="center" wrapText="1"/>
    </xf>
    <xf numFmtId="2" fontId="249" fillId="0" borderId="175" xfId="3" applyNumberFormat="1" applyFont="1" applyBorder="1" applyAlignment="1">
      <alignment horizontal="center" vertical="center" wrapText="1" shrinkToFit="1"/>
    </xf>
    <xf numFmtId="0" fontId="249" fillId="0" borderId="175" xfId="45" applyFont="1" applyBorder="1" applyAlignment="1">
      <alignment horizontal="center" vertical="center" wrapText="1"/>
    </xf>
    <xf numFmtId="0" fontId="249" fillId="0" borderId="175" xfId="45" applyFont="1" applyBorder="1" applyAlignment="1">
      <alignment vertical="center"/>
    </xf>
    <xf numFmtId="0" fontId="249" fillId="0" borderId="176" xfId="45" applyFont="1" applyBorder="1" applyAlignment="1">
      <alignment horizontal="center" vertical="center" wrapText="1"/>
    </xf>
    <xf numFmtId="0" fontId="249" fillId="0" borderId="176" xfId="45" applyFont="1" applyBorder="1" applyAlignment="1">
      <alignment vertical="center"/>
    </xf>
    <xf numFmtId="10" fontId="53" fillId="36" borderId="186" xfId="56" applyNumberFormat="1" applyFont="1" applyFill="1" applyBorder="1" applyAlignment="1">
      <alignment horizontal="center" vertical="center" wrapText="1"/>
    </xf>
    <xf numFmtId="10" fontId="53" fillId="36" borderId="174" xfId="56" applyNumberFormat="1" applyFont="1" applyFill="1" applyBorder="1" applyAlignment="1">
      <alignment horizontal="center" vertical="center" wrapText="1"/>
    </xf>
    <xf numFmtId="10" fontId="53" fillId="36" borderId="187" xfId="56" applyNumberFormat="1" applyFont="1" applyFill="1" applyBorder="1" applyAlignment="1">
      <alignment horizontal="center" vertical="center" wrapText="1"/>
    </xf>
    <xf numFmtId="2" fontId="249" fillId="0" borderId="188" xfId="45" applyNumberFormat="1" applyFont="1" applyBorder="1" applyAlignment="1">
      <alignment horizontal="center" vertical="center" shrinkToFit="1"/>
    </xf>
    <xf numFmtId="2" fontId="249" fillId="0" borderId="35" xfId="45" applyNumberFormat="1" applyFont="1" applyBorder="1" applyAlignment="1">
      <alignment horizontal="left" vertical="center" wrapText="1" shrinkToFit="1"/>
    </xf>
    <xf numFmtId="2" fontId="249" fillId="0" borderId="35" xfId="3" applyNumberFormat="1" applyFont="1" applyBorder="1" applyAlignment="1">
      <alignment horizontal="center" vertical="center" wrapText="1"/>
    </xf>
    <xf numFmtId="197" fontId="249" fillId="0" borderId="35" xfId="3" applyNumberFormat="1" applyFont="1" applyBorder="1" applyAlignment="1">
      <alignment horizontal="center" vertical="center" wrapText="1"/>
    </xf>
    <xf numFmtId="195" fontId="249" fillId="0" borderId="35" xfId="3" applyNumberFormat="1" applyFont="1" applyBorder="1" applyAlignment="1">
      <alignment horizontal="center" vertical="center" wrapText="1"/>
    </xf>
    <xf numFmtId="219" fontId="249" fillId="0" borderId="35" xfId="3" applyNumberFormat="1" applyFont="1" applyBorder="1" applyAlignment="1">
      <alignment horizontal="center" vertical="center" wrapText="1"/>
    </xf>
    <xf numFmtId="0" fontId="249" fillId="0" borderId="178" xfId="45" applyFont="1" applyBorder="1" applyAlignment="1">
      <alignment horizontal="center" vertical="center" wrapText="1"/>
    </xf>
    <xf numFmtId="0" fontId="249" fillId="0" borderId="181" xfId="45" applyFont="1" applyBorder="1" applyAlignment="1">
      <alignment horizontal="center" vertical="center" wrapText="1"/>
    </xf>
    <xf numFmtId="0" fontId="204" fillId="82" borderId="175" xfId="51" applyFont="1" applyFill="1" applyBorder="1" applyAlignment="1">
      <alignment horizontal="center"/>
    </xf>
    <xf numFmtId="0" fontId="204" fillId="82" borderId="175" xfId="51" applyFont="1" applyFill="1" applyBorder="1" applyAlignment="1">
      <alignment horizontal="center" wrapText="1"/>
    </xf>
    <xf numFmtId="2" fontId="250" fillId="82" borderId="175" xfId="3" applyNumberFormat="1" applyFont="1" applyFill="1" applyBorder="1" applyAlignment="1">
      <alignment horizontal="center" vertical="center" wrapText="1" shrinkToFit="1"/>
    </xf>
    <xf numFmtId="2" fontId="251" fillId="46" borderId="183" xfId="3" applyNumberFormat="1" applyFont="1" applyFill="1" applyBorder="1" applyAlignment="1">
      <alignment horizontal="left" vertical="center" shrinkToFit="1"/>
    </xf>
    <xf numFmtId="0" fontId="236" fillId="46" borderId="184" xfId="51" applyFont="1" applyFill="1" applyBorder="1" applyAlignment="1">
      <alignment wrapText="1"/>
    </xf>
    <xf numFmtId="0" fontId="236" fillId="46" borderId="184" xfId="51" applyFont="1" applyFill="1" applyBorder="1" applyAlignment="1">
      <alignment horizontal="center"/>
    </xf>
    <xf numFmtId="0" fontId="236" fillId="46" borderId="184" xfId="51" applyFont="1" applyFill="1" applyBorder="1"/>
    <xf numFmtId="175" fontId="176" fillId="46" borderId="153" xfId="51" applyNumberFormat="1" applyFont="1" applyFill="1" applyBorder="1" applyAlignment="1">
      <alignment horizontal="center" vertical="center" textRotation="90"/>
    </xf>
    <xf numFmtId="2" fontId="219" fillId="0" borderId="175" xfId="51" applyNumberFormat="1" applyFont="1" applyBorder="1" applyAlignment="1">
      <alignment horizontal="left" wrapText="1"/>
    </xf>
    <xf numFmtId="2" fontId="204" fillId="82" borderId="175" xfId="51" applyNumberFormat="1" applyFont="1" applyFill="1" applyBorder="1" applyAlignment="1">
      <alignment horizontal="left" wrapText="1"/>
    </xf>
    <xf numFmtId="2" fontId="249" fillId="0" borderId="175" xfId="45" applyNumberFormat="1" applyFont="1" applyBorder="1" applyAlignment="1">
      <alignment horizontal="left" vertical="center" wrapText="1"/>
    </xf>
    <xf numFmtId="0" fontId="249" fillId="0" borderId="175" xfId="45" applyFont="1" applyBorder="1" applyAlignment="1">
      <alignment horizontal="left" vertical="center" wrapText="1"/>
    </xf>
    <xf numFmtId="2" fontId="249" fillId="0" borderId="176" xfId="45" applyNumberFormat="1" applyFont="1" applyBorder="1" applyAlignment="1">
      <alignment horizontal="left" vertical="center" wrapText="1"/>
    </xf>
    <xf numFmtId="197" fontId="236" fillId="46" borderId="184" xfId="51" applyNumberFormat="1" applyFont="1" applyFill="1" applyBorder="1" applyAlignment="1">
      <alignment horizontal="center"/>
    </xf>
    <xf numFmtId="197" fontId="204" fillId="82" borderId="175" xfId="51" applyNumberFormat="1" applyFont="1" applyFill="1" applyBorder="1" applyAlignment="1">
      <alignment horizontal="center"/>
    </xf>
    <xf numFmtId="197" fontId="204" fillId="82" borderId="175" xfId="51" applyNumberFormat="1" applyFont="1" applyFill="1" applyBorder="1" applyAlignment="1">
      <alignment horizontal="center" wrapText="1"/>
    </xf>
    <xf numFmtId="197" fontId="249" fillId="0" borderId="175" xfId="3" applyNumberFormat="1" applyFont="1" applyBorder="1" applyAlignment="1">
      <alignment horizontal="center" vertical="center" wrapText="1" shrinkToFit="1"/>
    </xf>
    <xf numFmtId="197" fontId="219" fillId="0" borderId="175" xfId="51" applyNumberFormat="1" applyFont="1" applyBorder="1" applyAlignment="1">
      <alignment horizontal="center" wrapText="1"/>
    </xf>
    <xf numFmtId="197" fontId="250" fillId="82" borderId="175" xfId="3" applyNumberFormat="1" applyFont="1" applyFill="1" applyBorder="1" applyAlignment="1">
      <alignment horizontal="center" vertical="center" wrapText="1" shrinkToFit="1"/>
    </xf>
    <xf numFmtId="197" fontId="249" fillId="0" borderId="175" xfId="45" applyNumberFormat="1" applyFont="1" applyBorder="1" applyAlignment="1">
      <alignment horizontal="center" vertical="center" wrapText="1"/>
    </xf>
    <xf numFmtId="197" fontId="249" fillId="0" borderId="176" xfId="45" applyNumberFormat="1" applyFont="1" applyBorder="1" applyAlignment="1">
      <alignment horizontal="center" vertical="center" wrapText="1"/>
    </xf>
    <xf numFmtId="197" fontId="236" fillId="46" borderId="184" xfId="51" applyNumberFormat="1" applyFont="1" applyFill="1" applyBorder="1" applyAlignment="1">
      <alignment horizontal="center" vertical="top"/>
    </xf>
    <xf numFmtId="197" fontId="250" fillId="82" borderId="175" xfId="57" applyNumberFormat="1" applyFont="1" applyFill="1" applyBorder="1" applyAlignment="1">
      <alignment horizontal="center" vertical="center"/>
    </xf>
    <xf numFmtId="197" fontId="249" fillId="0" borderId="175" xfId="57" applyNumberFormat="1" applyFont="1" applyFill="1" applyBorder="1" applyAlignment="1">
      <alignment horizontal="center" vertical="center"/>
    </xf>
    <xf numFmtId="197" fontId="249" fillId="0" borderId="175" xfId="58" applyNumberFormat="1" applyFont="1" applyFill="1" applyBorder="1" applyAlignment="1">
      <alignment horizontal="center" vertical="center" wrapText="1"/>
    </xf>
    <xf numFmtId="197" fontId="250" fillId="82" borderId="175" xfId="58" applyNumberFormat="1" applyFont="1" applyFill="1" applyBorder="1" applyAlignment="1">
      <alignment horizontal="center" vertical="center" wrapText="1"/>
    </xf>
    <xf numFmtId="197" fontId="249" fillId="0" borderId="175" xfId="45" applyNumberFormat="1" applyFont="1" applyBorder="1" applyAlignment="1">
      <alignment horizontal="center" vertical="center"/>
    </xf>
    <xf numFmtId="197" fontId="249" fillId="0" borderId="176" xfId="45" applyNumberFormat="1" applyFont="1" applyBorder="1" applyAlignment="1">
      <alignment horizontal="center" vertical="center"/>
    </xf>
    <xf numFmtId="219" fontId="236" fillId="46" borderId="184" xfId="47" applyNumberFormat="1" applyFont="1" applyFill="1" applyBorder="1" applyAlignment="1">
      <alignment horizontal="center" vertical="top"/>
    </xf>
    <xf numFmtId="219" fontId="204" fillId="82" borderId="175" xfId="51" applyNumberFormat="1" applyFont="1" applyFill="1" applyBorder="1" applyAlignment="1">
      <alignment horizontal="center"/>
    </xf>
    <xf numFmtId="219" fontId="204" fillId="82" borderId="175" xfId="51" applyNumberFormat="1" applyFont="1" applyFill="1" applyBorder="1" applyAlignment="1">
      <alignment horizontal="center" wrapText="1"/>
    </xf>
    <xf numFmtId="219" fontId="249" fillId="0" borderId="175" xfId="3" applyNumberFormat="1" applyFont="1" applyBorder="1" applyAlignment="1">
      <alignment horizontal="center" vertical="center" wrapText="1" shrinkToFit="1"/>
    </xf>
    <xf numFmtId="219" fontId="219" fillId="0" borderId="175" xfId="51" applyNumberFormat="1" applyFont="1" applyBorder="1" applyAlignment="1">
      <alignment horizontal="center"/>
    </xf>
    <xf numFmtId="219" fontId="219" fillId="0" borderId="175" xfId="51" applyNumberFormat="1" applyFont="1" applyBorder="1" applyAlignment="1">
      <alignment horizontal="center" wrapText="1"/>
    </xf>
    <xf numFmtId="219" fontId="250" fillId="82" borderId="175" xfId="3" applyNumberFormat="1" applyFont="1" applyFill="1" applyBorder="1" applyAlignment="1">
      <alignment horizontal="center" vertical="center" wrapText="1" shrinkToFit="1"/>
    </xf>
    <xf numFmtId="219" fontId="249" fillId="0" borderId="175" xfId="45" applyNumberFormat="1" applyFont="1" applyBorder="1" applyAlignment="1">
      <alignment horizontal="center" vertical="center" wrapText="1"/>
    </xf>
    <xf numFmtId="219" fontId="249" fillId="0" borderId="176" xfId="45" applyNumberFormat="1" applyFont="1" applyBorder="1" applyAlignment="1">
      <alignment horizontal="center" vertical="center" wrapText="1"/>
    </xf>
    <xf numFmtId="219" fontId="236" fillId="46" borderId="184" xfId="51" applyNumberFormat="1" applyFont="1" applyFill="1" applyBorder="1" applyAlignment="1">
      <alignment horizontal="center"/>
    </xf>
    <xf numFmtId="219" fontId="250" fillId="82" borderId="175" xfId="57" applyNumberFormat="1" applyFont="1" applyFill="1" applyBorder="1" applyAlignment="1">
      <alignment horizontal="center" vertical="center"/>
    </xf>
    <xf numFmtId="219" fontId="249" fillId="0" borderId="175" xfId="56" applyNumberFormat="1" applyFont="1" applyFill="1" applyBorder="1" applyAlignment="1">
      <alignment horizontal="center" vertical="center"/>
    </xf>
    <xf numFmtId="219" fontId="249" fillId="0" borderId="175" xfId="58" applyNumberFormat="1" applyFont="1" applyFill="1" applyBorder="1" applyAlignment="1">
      <alignment horizontal="center" vertical="center" wrapText="1"/>
    </xf>
    <xf numFmtId="219" fontId="249" fillId="0" borderId="175" xfId="57" applyNumberFormat="1" applyFont="1" applyFill="1" applyBorder="1" applyAlignment="1">
      <alignment horizontal="center" vertical="center"/>
    </xf>
    <xf numFmtId="219" fontId="250" fillId="82" borderId="175" xfId="58" applyNumberFormat="1" applyFont="1" applyFill="1" applyBorder="1" applyAlignment="1">
      <alignment horizontal="center" vertical="center" wrapText="1"/>
    </xf>
    <xf numFmtId="219" fontId="250" fillId="82" borderId="175" xfId="56" applyNumberFormat="1" applyFont="1" applyFill="1" applyBorder="1" applyAlignment="1">
      <alignment horizontal="center" vertical="center"/>
    </xf>
    <xf numFmtId="219" fontId="249" fillId="0" borderId="175" xfId="45" applyNumberFormat="1" applyFont="1" applyBorder="1" applyAlignment="1">
      <alignment horizontal="center" vertical="center"/>
    </xf>
    <xf numFmtId="219" fontId="249" fillId="0" borderId="176" xfId="45" applyNumberFormat="1" applyFont="1" applyBorder="1" applyAlignment="1">
      <alignment horizontal="center" vertical="center"/>
    </xf>
    <xf numFmtId="197" fontId="249" fillId="0" borderId="175" xfId="56" applyNumberFormat="1" applyFont="1" applyFill="1" applyBorder="1" applyAlignment="1">
      <alignment horizontal="center" vertical="center" wrapText="1"/>
    </xf>
    <xf numFmtId="197" fontId="249" fillId="0" borderId="176" xfId="56" applyNumberFormat="1" applyFont="1" applyFill="1" applyBorder="1" applyAlignment="1">
      <alignment horizontal="center" vertical="center" wrapText="1"/>
    </xf>
    <xf numFmtId="0" fontId="250" fillId="23" borderId="130" xfId="39" applyFont="1" applyFill="1" applyBorder="1" applyAlignment="1">
      <alignment horizontal="center" vertical="center"/>
    </xf>
    <xf numFmtId="2" fontId="249" fillId="0" borderId="188" xfId="3" applyNumberFormat="1" applyFont="1" applyBorder="1" applyAlignment="1">
      <alignment horizontal="center" vertical="center" shrinkToFit="1"/>
    </xf>
    <xf numFmtId="2" fontId="249" fillId="0" borderId="35" xfId="3" applyNumberFormat="1" applyFont="1" applyBorder="1" applyAlignment="1">
      <alignment horizontal="left" vertical="center" wrapText="1" shrinkToFit="1"/>
    </xf>
    <xf numFmtId="0" fontId="250" fillId="46" borderId="130" xfId="39" applyFont="1" applyFill="1" applyBorder="1" applyAlignment="1">
      <alignment horizontal="center" vertical="center"/>
    </xf>
    <xf numFmtId="0" fontId="250" fillId="46" borderId="130" xfId="39" applyFont="1" applyFill="1" applyBorder="1" applyAlignment="1">
      <alignment horizontal="center" vertical="center" wrapText="1"/>
    </xf>
    <xf numFmtId="219" fontId="250" fillId="23" borderId="130" xfId="39" applyNumberFormat="1" applyFont="1" applyFill="1" applyBorder="1" applyAlignment="1">
      <alignment horizontal="center" vertical="center"/>
    </xf>
    <xf numFmtId="9" fontId="250" fillId="23" borderId="130" xfId="39" applyNumberFormat="1" applyFont="1" applyFill="1" applyBorder="1" applyAlignment="1">
      <alignment horizontal="center" vertical="center"/>
    </xf>
    <xf numFmtId="0" fontId="248" fillId="23" borderId="130" xfId="51" applyFont="1" applyFill="1" applyBorder="1" applyAlignment="1">
      <alignment horizontal="center" vertical="center"/>
    </xf>
    <xf numFmtId="2" fontId="249" fillId="0" borderId="66" xfId="3" applyNumberFormat="1" applyFont="1" applyBorder="1" applyAlignment="1">
      <alignment horizontal="center" vertical="center" shrinkToFit="1"/>
    </xf>
    <xf numFmtId="2" fontId="249" fillId="0" borderId="53" xfId="3" applyNumberFormat="1" applyFont="1" applyBorder="1" applyAlignment="1">
      <alignment horizontal="left" vertical="center" wrapText="1" shrinkToFit="1"/>
    </xf>
    <xf numFmtId="2" fontId="249" fillId="0" borderId="53" xfId="3" applyNumberFormat="1" applyFont="1" applyBorder="1" applyAlignment="1">
      <alignment horizontal="center" vertical="center" wrapText="1"/>
    </xf>
    <xf numFmtId="2" fontId="249" fillId="0" borderId="53" xfId="3" applyNumberFormat="1" applyFont="1" applyBorder="1" applyAlignment="1">
      <alignment horizontal="center" vertical="center" wrapText="1" shrinkToFit="1"/>
    </xf>
    <xf numFmtId="2" fontId="250" fillId="82" borderId="188" xfId="3" applyNumberFormat="1" applyFont="1" applyFill="1" applyBorder="1" applyAlignment="1">
      <alignment horizontal="center" vertical="center" shrinkToFit="1"/>
    </xf>
    <xf numFmtId="2" fontId="250" fillId="82" borderId="35" xfId="3" applyNumberFormat="1" applyFont="1" applyFill="1" applyBorder="1" applyAlignment="1">
      <alignment horizontal="left" vertical="center" wrapText="1" shrinkToFit="1"/>
    </xf>
    <xf numFmtId="2" fontId="250" fillId="82" borderId="35" xfId="3" applyNumberFormat="1" applyFont="1" applyFill="1" applyBorder="1" applyAlignment="1">
      <alignment horizontal="center" vertical="center" wrapText="1" shrinkToFit="1"/>
    </xf>
    <xf numFmtId="212" fontId="246" fillId="46" borderId="130" xfId="59" applyNumberFormat="1" applyFont="1" applyFill="1" applyBorder="1" applyAlignment="1">
      <alignment vertical="center"/>
    </xf>
    <xf numFmtId="10" fontId="247" fillId="76" borderId="130" xfId="56" applyNumberFormat="1" applyFont="1" applyFill="1" applyBorder="1" applyAlignment="1">
      <alignment horizontal="center" vertical="center"/>
    </xf>
    <xf numFmtId="0" fontId="252" fillId="0" borderId="130" xfId="51" applyFont="1" applyBorder="1" applyAlignment="1">
      <alignment horizontal="center" vertical="center"/>
    </xf>
    <xf numFmtId="0" fontId="252" fillId="0" borderId="130" xfId="51" applyFont="1" applyBorder="1" applyAlignment="1">
      <alignment horizontal="left" vertical="center" wrapText="1"/>
    </xf>
    <xf numFmtId="0" fontId="248" fillId="0" borderId="138" xfId="51" applyFont="1" applyBorder="1"/>
    <xf numFmtId="0" fontId="248" fillId="0" borderId="139" xfId="51" applyFont="1" applyBorder="1"/>
    <xf numFmtId="0" fontId="219" fillId="0" borderId="66" xfId="51" applyFont="1" applyBorder="1" applyAlignment="1">
      <alignment horizontal="center"/>
    </xf>
    <xf numFmtId="0" fontId="219" fillId="0" borderId="53" xfId="51" applyFont="1" applyBorder="1" applyAlignment="1">
      <alignment horizontal="left" wrapText="1"/>
    </xf>
    <xf numFmtId="0" fontId="249" fillId="0" borderId="53" xfId="51" applyFont="1" applyBorder="1" applyAlignment="1">
      <alignment horizontal="center"/>
    </xf>
    <xf numFmtId="197" fontId="249" fillId="0" borderId="180" xfId="51" applyNumberFormat="1" applyFont="1" applyBorder="1" applyAlignment="1">
      <alignment horizontal="center"/>
    </xf>
    <xf numFmtId="195" fontId="249" fillId="0" borderId="180" xfId="51" applyNumberFormat="1" applyFont="1" applyBorder="1" applyAlignment="1">
      <alignment horizontal="center"/>
    </xf>
    <xf numFmtId="219" fontId="249" fillId="0" borderId="180" xfId="51" applyNumberFormat="1" applyFont="1" applyBorder="1" applyAlignment="1">
      <alignment horizontal="center"/>
    </xf>
    <xf numFmtId="2" fontId="249" fillId="0" borderId="180" xfId="51" applyNumberFormat="1" applyFont="1" applyBorder="1" applyAlignment="1">
      <alignment horizontal="center"/>
    </xf>
    <xf numFmtId="2" fontId="250" fillId="82" borderId="66" xfId="3" applyNumberFormat="1" applyFont="1" applyFill="1" applyBorder="1" applyAlignment="1">
      <alignment horizontal="center" vertical="center" shrinkToFit="1"/>
    </xf>
    <xf numFmtId="2" fontId="250" fillId="82" borderId="53" xfId="3" applyNumberFormat="1" applyFont="1" applyFill="1" applyBorder="1" applyAlignment="1">
      <alignment horizontal="left" vertical="center" wrapText="1" shrinkToFit="1"/>
    </xf>
    <xf numFmtId="2" fontId="250" fillId="82" borderId="53" xfId="3" applyNumberFormat="1" applyFont="1" applyFill="1" applyBorder="1" applyAlignment="1">
      <alignment horizontal="center" vertical="center" wrapText="1" shrinkToFit="1"/>
    </xf>
    <xf numFmtId="197" fontId="250" fillId="82" borderId="180" xfId="3" applyNumberFormat="1" applyFont="1" applyFill="1" applyBorder="1" applyAlignment="1">
      <alignment horizontal="center" vertical="center" wrapText="1" shrinkToFit="1"/>
    </xf>
    <xf numFmtId="219" fontId="250" fillId="82" borderId="180" xfId="3" applyNumberFormat="1" applyFont="1" applyFill="1" applyBorder="1" applyAlignment="1">
      <alignment horizontal="center" vertical="center" wrapText="1" shrinkToFit="1"/>
    </xf>
    <xf numFmtId="2" fontId="250" fillId="82" borderId="180" xfId="3" applyNumberFormat="1" applyFont="1" applyFill="1" applyBorder="1" applyAlignment="1">
      <alignment horizontal="left" vertical="center" wrapText="1" shrinkToFit="1"/>
    </xf>
    <xf numFmtId="197" fontId="204" fillId="82" borderId="180" xfId="51" applyNumberFormat="1" applyFont="1" applyFill="1" applyBorder="1" applyAlignment="1">
      <alignment horizontal="center" vertical="center"/>
    </xf>
    <xf numFmtId="219" fontId="250" fillId="82" borderId="180" xfId="58" applyNumberFormat="1" applyFont="1" applyFill="1" applyBorder="1" applyAlignment="1">
      <alignment horizontal="center" vertical="center" wrapText="1"/>
    </xf>
    <xf numFmtId="197" fontId="250" fillId="82" borderId="180" xfId="58" applyNumberFormat="1" applyFont="1" applyFill="1" applyBorder="1" applyAlignment="1">
      <alignment horizontal="center" vertical="center" wrapText="1"/>
    </xf>
    <xf numFmtId="197" fontId="250" fillId="82" borderId="35" xfId="3" applyNumberFormat="1" applyFont="1" applyFill="1" applyBorder="1" applyAlignment="1">
      <alignment horizontal="center" vertical="center" wrapText="1" shrinkToFit="1"/>
    </xf>
    <xf numFmtId="219" fontId="250" fillId="82" borderId="35" xfId="3" applyNumberFormat="1" applyFont="1" applyFill="1" applyBorder="1" applyAlignment="1">
      <alignment horizontal="center" vertical="center" wrapText="1" shrinkToFit="1"/>
    </xf>
    <xf numFmtId="197" fontId="204" fillId="82" borderId="35" xfId="51" applyNumberFormat="1" applyFont="1" applyFill="1" applyBorder="1" applyAlignment="1">
      <alignment horizontal="center" vertical="center"/>
    </xf>
    <xf numFmtId="219" fontId="250" fillId="82" borderId="35" xfId="58" applyNumberFormat="1" applyFont="1" applyFill="1" applyBorder="1" applyAlignment="1">
      <alignment horizontal="center" vertical="center" wrapText="1"/>
    </xf>
    <xf numFmtId="197" fontId="250" fillId="82" borderId="35" xfId="58" applyNumberFormat="1" applyFont="1" applyFill="1" applyBorder="1" applyAlignment="1">
      <alignment horizontal="center" vertical="center" wrapText="1"/>
    </xf>
    <xf numFmtId="0" fontId="248" fillId="0" borderId="130" xfId="51" applyFont="1" applyBorder="1" applyAlignment="1">
      <alignment horizontal="center"/>
    </xf>
    <xf numFmtId="10" fontId="250" fillId="22" borderId="130" xfId="56" applyNumberFormat="1" applyFont="1" applyFill="1" applyBorder="1" applyAlignment="1" applyProtection="1">
      <alignment horizontal="center" vertical="top" wrapText="1"/>
      <protection locked="0" hidden="1"/>
    </xf>
    <xf numFmtId="0" fontId="152" fillId="0" borderId="190" xfId="45" applyFont="1" applyBorder="1" applyAlignment="1">
      <alignment horizontal="center" vertical="center"/>
    </xf>
    <xf numFmtId="0" fontId="152" fillId="0" borderId="191" xfId="45" applyFont="1" applyBorder="1" applyAlignment="1">
      <alignment horizontal="center" vertical="center" wrapText="1"/>
    </xf>
    <xf numFmtId="0" fontId="177" fillId="0" borderId="191" xfId="45" applyFont="1" applyBorder="1" applyAlignment="1">
      <alignment horizontal="center" vertical="center"/>
    </xf>
    <xf numFmtId="211" fontId="9" fillId="0" borderId="191" xfId="45" applyNumberFormat="1" applyFont="1" applyBorder="1" applyAlignment="1">
      <alignment horizontal="center" vertical="center" wrapText="1"/>
    </xf>
    <xf numFmtId="0" fontId="177" fillId="0" borderId="191" xfId="45" applyFont="1" applyBorder="1" applyAlignment="1">
      <alignment horizontal="center" vertical="center" wrapText="1"/>
    </xf>
    <xf numFmtId="0" fontId="177" fillId="0" borderId="18" xfId="45" applyFont="1" applyBorder="1" applyAlignment="1">
      <alignment horizontal="center" vertical="center"/>
    </xf>
    <xf numFmtId="0" fontId="177" fillId="0" borderId="18" xfId="45" applyFont="1" applyBorder="1" applyAlignment="1">
      <alignment horizontal="center" vertical="center" wrapText="1"/>
    </xf>
    <xf numFmtId="10" fontId="177" fillId="0" borderId="18" xfId="45" applyNumberFormat="1" applyFont="1" applyBorder="1" applyAlignment="1">
      <alignment horizontal="center" vertical="center" wrapText="1"/>
    </xf>
    <xf numFmtId="175" fontId="177" fillId="80" borderId="109" xfId="59" applyFont="1" applyFill="1" applyBorder="1" applyAlignment="1">
      <alignment horizontal="center" vertical="center" wrapText="1"/>
    </xf>
    <xf numFmtId="15" fontId="51" fillId="0" borderId="192" xfId="45" applyNumberFormat="1" applyFont="1" applyBorder="1" applyAlignment="1">
      <alignment horizontal="center" vertical="center" textRotation="90"/>
    </xf>
    <xf numFmtId="15" fontId="51" fillId="0" borderId="193" xfId="45" applyNumberFormat="1" applyFont="1" applyBorder="1" applyAlignment="1">
      <alignment horizontal="center" vertical="center" textRotation="90"/>
    </xf>
    <xf numFmtId="15" fontId="51" fillId="0" borderId="194" xfId="45" applyNumberFormat="1" applyFont="1" applyBorder="1" applyAlignment="1">
      <alignment horizontal="center" vertical="center" textRotation="90"/>
    </xf>
    <xf numFmtId="212" fontId="177" fillId="78" borderId="195" xfId="59" applyNumberFormat="1" applyFont="1" applyFill="1" applyBorder="1" applyAlignment="1">
      <alignment horizontal="center" vertical="center" textRotation="90" wrapText="1"/>
    </xf>
    <xf numFmtId="10" fontId="219" fillId="0" borderId="130" xfId="51" applyNumberFormat="1" applyFont="1" applyBorder="1" applyAlignment="1">
      <alignment horizontal="center"/>
    </xf>
    <xf numFmtId="10" fontId="204" fillId="22" borderId="130" xfId="56" applyNumberFormat="1" applyFont="1" applyFill="1" applyBorder="1" applyAlignment="1" applyProtection="1">
      <alignment horizontal="center" vertical="top" wrapText="1"/>
      <protection locked="0" hidden="1"/>
    </xf>
    <xf numFmtId="10" fontId="245" fillId="0" borderId="130" xfId="56" applyNumberFormat="1" applyFont="1" applyBorder="1" applyAlignment="1">
      <alignment horizontal="center"/>
    </xf>
    <xf numFmtId="197" fontId="204" fillId="46" borderId="136" xfId="51" applyNumberFormat="1" applyFont="1" applyFill="1" applyBorder="1" applyAlignment="1">
      <alignment horizontal="center" vertical="center" textRotation="90"/>
    </xf>
    <xf numFmtId="0" fontId="249" fillId="0" borderId="130" xfId="45" applyFont="1" applyBorder="1" applyAlignment="1" applyProtection="1">
      <alignment horizontal="center" vertical="center" wrapText="1"/>
      <protection locked="0"/>
    </xf>
    <xf numFmtId="0" fontId="249" fillId="0" borderId="130" xfId="45" applyFont="1" applyBorder="1" applyAlignment="1">
      <alignment horizontal="center" vertical="center"/>
    </xf>
    <xf numFmtId="0" fontId="249" fillId="0" borderId="130" xfId="45" applyFont="1" applyBorder="1" applyAlignment="1">
      <alignment horizontal="center" vertical="center" wrapText="1"/>
    </xf>
    <xf numFmtId="0" fontId="249" fillId="0" borderId="159" xfId="45" applyFont="1" applyBorder="1" applyAlignment="1">
      <alignment horizontal="center" vertical="center" wrapText="1"/>
    </xf>
    <xf numFmtId="0" fontId="219" fillId="0" borderId="130" xfId="51" applyFont="1" applyBorder="1" applyAlignment="1">
      <alignment horizontal="center"/>
    </xf>
    <xf numFmtId="10" fontId="173" fillId="12" borderId="138" xfId="45" applyNumberFormat="1" applyFont="1" applyFill="1" applyBorder="1" applyAlignment="1">
      <alignment horizontal="center" vertical="center"/>
    </xf>
    <xf numFmtId="4" fontId="58" fillId="12" borderId="138" xfId="45" applyNumberFormat="1" applyFont="1" applyFill="1" applyBorder="1" applyAlignment="1">
      <alignment horizontal="center" vertical="center"/>
    </xf>
    <xf numFmtId="175" fontId="176" fillId="12" borderId="138" xfId="51" applyNumberFormat="1" applyFont="1" applyFill="1" applyBorder="1" applyAlignment="1">
      <alignment horizontal="center" vertical="center"/>
    </xf>
    <xf numFmtId="0" fontId="53" fillId="12" borderId="138" xfId="45" applyFont="1" applyFill="1" applyBorder="1" applyAlignment="1">
      <alignment horizontal="center" vertical="center" wrapText="1"/>
    </xf>
    <xf numFmtId="0" fontId="53" fillId="12" borderId="138" xfId="45" applyFont="1" applyFill="1" applyBorder="1" applyAlignment="1">
      <alignment horizontal="center" vertical="center"/>
    </xf>
    <xf numFmtId="0" fontId="53" fillId="12" borderId="196" xfId="45" applyFont="1" applyFill="1" applyBorder="1" applyAlignment="1">
      <alignment horizontal="center" vertical="center" wrapText="1"/>
    </xf>
    <xf numFmtId="219" fontId="250" fillId="82" borderId="180" xfId="57" applyNumberFormat="1" applyFont="1" applyFill="1" applyBorder="1" applyAlignment="1">
      <alignment horizontal="center" vertical="center"/>
    </xf>
    <xf numFmtId="197" fontId="250" fillId="82" borderId="180" xfId="57" applyNumberFormat="1" applyFont="1" applyFill="1" applyBorder="1" applyAlignment="1">
      <alignment horizontal="center" vertical="center"/>
    </xf>
    <xf numFmtId="197" fontId="204" fillId="46" borderId="197" xfId="51" applyNumberFormat="1" applyFont="1" applyFill="1" applyBorder="1" applyAlignment="1">
      <alignment horizontal="center" vertical="center"/>
    </xf>
    <xf numFmtId="197" fontId="204" fillId="82" borderId="179" xfId="51" applyNumberFormat="1" applyFont="1" applyFill="1" applyBorder="1" applyAlignment="1">
      <alignment horizontal="center" vertical="center"/>
    </xf>
    <xf numFmtId="197" fontId="219" fillId="0" borderId="179" xfId="51" applyNumberFormat="1" applyFont="1" applyBorder="1" applyAlignment="1">
      <alignment horizontal="center" vertical="center"/>
    </xf>
    <xf numFmtId="197" fontId="204" fillId="82" borderId="182" xfId="51" applyNumberFormat="1" applyFont="1" applyFill="1" applyBorder="1" applyAlignment="1">
      <alignment horizontal="center" vertical="center"/>
    </xf>
    <xf numFmtId="197" fontId="204" fillId="82" borderId="189" xfId="51" applyNumberFormat="1" applyFont="1" applyFill="1" applyBorder="1" applyAlignment="1">
      <alignment horizontal="center" vertical="center"/>
    </xf>
    <xf numFmtId="197" fontId="249" fillId="0" borderId="179" xfId="56" applyNumberFormat="1" applyFont="1" applyFill="1" applyBorder="1" applyAlignment="1">
      <alignment horizontal="center" vertical="center" wrapText="1"/>
    </xf>
    <xf numFmtId="197" fontId="249" fillId="0" borderId="185" xfId="56" applyNumberFormat="1" applyFont="1" applyFill="1" applyBorder="1" applyAlignment="1">
      <alignment horizontal="center" vertical="center" wrapText="1"/>
    </xf>
    <xf numFmtId="0" fontId="219" fillId="0" borderId="130" xfId="51" applyFont="1" applyBorder="1" applyAlignment="1">
      <alignment horizontal="center" vertical="center" wrapText="1"/>
    </xf>
    <xf numFmtId="0" fontId="219" fillId="0" borderId="130" xfId="51" applyFont="1" applyBorder="1" applyAlignment="1">
      <alignment horizontal="center" vertical="center"/>
    </xf>
    <xf numFmtId="0" fontId="219" fillId="0" borderId="159" xfId="51" applyFont="1" applyBorder="1" applyAlignment="1">
      <alignment horizontal="center"/>
    </xf>
    <xf numFmtId="0" fontId="250" fillId="82" borderId="130" xfId="45" applyFont="1" applyFill="1" applyBorder="1" applyAlignment="1" applyProtection="1">
      <alignment horizontal="center" vertical="center" wrapText="1"/>
      <protection locked="0"/>
    </xf>
    <xf numFmtId="0" fontId="250" fillId="82" borderId="130" xfId="45" applyFont="1" applyFill="1" applyBorder="1" applyAlignment="1">
      <alignment horizontal="center" vertical="center"/>
    </xf>
    <xf numFmtId="0" fontId="250" fillId="82" borderId="130" xfId="45" applyFont="1" applyFill="1" applyBorder="1" applyAlignment="1">
      <alignment horizontal="center" vertical="center" wrapText="1"/>
    </xf>
    <xf numFmtId="0" fontId="250" fillId="82" borderId="159" xfId="45" applyFont="1" applyFill="1" applyBorder="1" applyAlignment="1">
      <alignment horizontal="center" vertical="center" wrapText="1"/>
    </xf>
    <xf numFmtId="197" fontId="219" fillId="67" borderId="175" xfId="51" applyNumberFormat="1" applyFont="1" applyFill="1" applyBorder="1" applyAlignment="1">
      <alignment horizontal="center" vertical="center"/>
    </xf>
    <xf numFmtId="197" fontId="219" fillId="67" borderId="179" xfId="51" applyNumberFormat="1" applyFont="1" applyFill="1" applyBorder="1" applyAlignment="1">
      <alignment horizontal="center" vertical="center"/>
    </xf>
    <xf numFmtId="197" fontId="219" fillId="67" borderId="180" xfId="51" applyNumberFormat="1" applyFont="1" applyFill="1" applyBorder="1" applyAlignment="1">
      <alignment horizontal="center" vertical="center"/>
    </xf>
    <xf numFmtId="197" fontId="219" fillId="67" borderId="182" xfId="51" applyNumberFormat="1" applyFont="1" applyFill="1" applyBorder="1" applyAlignment="1">
      <alignment horizontal="center" vertical="center"/>
    </xf>
    <xf numFmtId="197" fontId="219" fillId="67" borderId="35" xfId="51" applyNumberFormat="1" applyFont="1" applyFill="1" applyBorder="1" applyAlignment="1">
      <alignment horizontal="center" vertical="center"/>
    </xf>
    <xf numFmtId="197" fontId="219" fillId="67" borderId="189" xfId="51" applyNumberFormat="1" applyFont="1" applyFill="1" applyBorder="1" applyAlignment="1">
      <alignment horizontal="center" vertical="center"/>
    </xf>
    <xf numFmtId="197" fontId="219" fillId="67" borderId="175" xfId="51" applyNumberFormat="1" applyFont="1" applyFill="1" applyBorder="1" applyAlignment="1">
      <alignment horizontal="center"/>
    </xf>
    <xf numFmtId="197" fontId="219" fillId="67" borderId="179" xfId="51" applyNumberFormat="1" applyFont="1" applyFill="1" applyBorder="1" applyAlignment="1">
      <alignment horizontal="center"/>
    </xf>
    <xf numFmtId="197" fontId="219" fillId="67" borderId="176" xfId="51" applyNumberFormat="1" applyFont="1" applyFill="1" applyBorder="1" applyAlignment="1">
      <alignment horizontal="center" vertical="center"/>
    </xf>
    <xf numFmtId="197" fontId="219" fillId="67" borderId="185" xfId="51" applyNumberFormat="1" applyFont="1" applyFill="1" applyBorder="1" applyAlignment="1">
      <alignment horizontal="center" vertical="center"/>
    </xf>
    <xf numFmtId="0" fontId="250" fillId="46" borderId="130" xfId="45" applyFont="1" applyFill="1" applyBorder="1" applyAlignment="1" applyProtection="1">
      <alignment horizontal="center" vertical="center" wrapText="1"/>
      <protection locked="0"/>
    </xf>
    <xf numFmtId="0" fontId="250" fillId="46" borderId="130" xfId="45" applyFont="1" applyFill="1" applyBorder="1" applyAlignment="1">
      <alignment horizontal="center" vertical="center"/>
    </xf>
    <xf numFmtId="0" fontId="250" fillId="46" borderId="130" xfId="45" applyFont="1" applyFill="1" applyBorder="1" applyAlignment="1">
      <alignment horizontal="center" vertical="center" wrapText="1"/>
    </xf>
    <xf numFmtId="0" fontId="250" fillId="46" borderId="159" xfId="45" applyFont="1" applyFill="1" applyBorder="1" applyAlignment="1">
      <alignment horizontal="center" vertical="center" wrapText="1"/>
    </xf>
    <xf numFmtId="219" fontId="250" fillId="46" borderId="130" xfId="57" applyNumberFormat="1" applyFont="1" applyFill="1" applyBorder="1" applyAlignment="1">
      <alignment horizontal="center" vertical="center"/>
    </xf>
    <xf numFmtId="219" fontId="250" fillId="82" borderId="130" xfId="57" applyNumberFormat="1" applyFont="1" applyFill="1" applyBorder="1" applyAlignment="1">
      <alignment horizontal="center" vertical="center"/>
    </xf>
    <xf numFmtId="219" fontId="249" fillId="0" borderId="130" xfId="56" applyNumberFormat="1" applyFont="1" applyFill="1" applyBorder="1" applyAlignment="1">
      <alignment horizontal="center" vertical="center"/>
    </xf>
    <xf numFmtId="219" fontId="249" fillId="0" borderId="130" xfId="58" applyNumberFormat="1" applyFont="1" applyFill="1" applyBorder="1" applyAlignment="1">
      <alignment horizontal="center" vertical="center" wrapText="1"/>
    </xf>
    <xf numFmtId="219" fontId="249" fillId="0" borderId="130" xfId="57" applyNumberFormat="1" applyFont="1" applyFill="1" applyBorder="1" applyAlignment="1">
      <alignment horizontal="center" vertical="center"/>
    </xf>
    <xf numFmtId="219" fontId="250" fillId="82" borderId="130" xfId="58" applyNumberFormat="1" applyFont="1" applyFill="1" applyBorder="1" applyAlignment="1">
      <alignment horizontal="center" vertical="center" wrapText="1"/>
    </xf>
    <xf numFmtId="219" fontId="219" fillId="0" borderId="130" xfId="51" applyNumberFormat="1" applyFont="1" applyBorder="1" applyAlignment="1">
      <alignment horizontal="center"/>
    </xf>
    <xf numFmtId="219" fontId="250" fillId="82" borderId="130" xfId="56" applyNumberFormat="1" applyFont="1" applyFill="1" applyBorder="1" applyAlignment="1">
      <alignment horizontal="center" vertical="center"/>
    </xf>
    <xf numFmtId="197" fontId="250" fillId="46" borderId="130" xfId="57" applyNumberFormat="1" applyFont="1" applyFill="1" applyBorder="1" applyAlignment="1">
      <alignment horizontal="center" vertical="center"/>
    </xf>
    <xf numFmtId="197" fontId="250" fillId="82" borderId="130" xfId="57" applyNumberFormat="1" applyFont="1" applyFill="1" applyBorder="1" applyAlignment="1">
      <alignment horizontal="center" vertical="center"/>
    </xf>
    <xf numFmtId="197" fontId="249" fillId="0" borderId="130" xfId="57" applyNumberFormat="1" applyFont="1" applyFill="1" applyBorder="1" applyAlignment="1">
      <alignment horizontal="center" vertical="center"/>
    </xf>
    <xf numFmtId="197" fontId="249" fillId="0" borderId="130" xfId="58" applyNumberFormat="1" applyFont="1" applyFill="1" applyBorder="1" applyAlignment="1">
      <alignment horizontal="center" vertical="center" wrapText="1"/>
    </xf>
    <xf numFmtId="197" fontId="250" fillId="82" borderId="130" xfId="58" applyNumberFormat="1" applyFont="1" applyFill="1" applyBorder="1" applyAlignment="1">
      <alignment horizontal="center" vertical="center" wrapText="1"/>
    </xf>
    <xf numFmtId="197" fontId="249" fillId="0" borderId="130" xfId="51" applyNumberFormat="1" applyFont="1" applyBorder="1" applyAlignment="1">
      <alignment horizontal="center" vertical="center"/>
    </xf>
    <xf numFmtId="197" fontId="204" fillId="46" borderId="130" xfId="51" applyNumberFormat="1" applyFont="1" applyFill="1" applyBorder="1" applyAlignment="1">
      <alignment horizontal="center" vertical="center"/>
    </xf>
    <xf numFmtId="197" fontId="204" fillId="46" borderId="130" xfId="51" applyNumberFormat="1" applyFont="1" applyFill="1" applyBorder="1" applyAlignment="1">
      <alignment horizontal="center" vertical="center" textRotation="90"/>
    </xf>
    <xf numFmtId="197" fontId="204" fillId="82" borderId="130" xfId="51" applyNumberFormat="1" applyFont="1" applyFill="1" applyBorder="1" applyAlignment="1">
      <alignment horizontal="center" vertical="center"/>
    </xf>
    <xf numFmtId="197" fontId="219" fillId="67" borderId="130" xfId="51" applyNumberFormat="1" applyFont="1" applyFill="1" applyBorder="1" applyAlignment="1">
      <alignment horizontal="center" vertical="center"/>
    </xf>
    <xf numFmtId="197" fontId="219" fillId="67" borderId="130" xfId="51" applyNumberFormat="1" applyFont="1" applyFill="1" applyBorder="1" applyAlignment="1">
      <alignment horizontal="center"/>
    </xf>
    <xf numFmtId="197" fontId="204" fillId="83" borderId="175" xfId="51" applyNumberFormat="1" applyFont="1" applyFill="1" applyBorder="1" applyAlignment="1">
      <alignment horizontal="center" vertical="center"/>
    </xf>
    <xf numFmtId="197" fontId="219" fillId="83" borderId="175" xfId="51" applyNumberFormat="1" applyFont="1" applyFill="1" applyBorder="1" applyAlignment="1">
      <alignment horizontal="center" vertical="center"/>
    </xf>
    <xf numFmtId="197" fontId="219" fillId="83" borderId="180" xfId="51" applyNumberFormat="1" applyFont="1" applyFill="1" applyBorder="1" applyAlignment="1">
      <alignment horizontal="center" vertical="center"/>
    </xf>
    <xf numFmtId="197" fontId="219" fillId="83" borderId="35" xfId="51" applyNumberFormat="1" applyFont="1" applyFill="1" applyBorder="1" applyAlignment="1">
      <alignment horizontal="center" vertical="center"/>
    </xf>
    <xf numFmtId="197" fontId="219" fillId="83" borderId="175" xfId="51" applyNumberFormat="1" applyFont="1" applyFill="1" applyBorder="1" applyAlignment="1">
      <alignment horizontal="center"/>
    </xf>
    <xf numFmtId="197" fontId="219" fillId="83" borderId="176" xfId="51" applyNumberFormat="1" applyFont="1" applyFill="1" applyBorder="1" applyAlignment="1">
      <alignment horizontal="center" vertical="center"/>
    </xf>
    <xf numFmtId="197" fontId="204" fillId="83" borderId="130" xfId="51" applyNumberFormat="1" applyFont="1" applyFill="1" applyBorder="1" applyAlignment="1">
      <alignment horizontal="center" vertical="center"/>
    </xf>
    <xf numFmtId="197" fontId="219" fillId="83" borderId="130" xfId="51" applyNumberFormat="1" applyFont="1" applyFill="1" applyBorder="1" applyAlignment="1">
      <alignment horizontal="center" vertical="center"/>
    </xf>
    <xf numFmtId="197" fontId="219" fillId="83" borderId="130" xfId="51" applyNumberFormat="1" applyFont="1" applyFill="1" applyBorder="1" applyAlignment="1">
      <alignment horizontal="center"/>
    </xf>
    <xf numFmtId="197" fontId="204" fillId="83" borderId="180" xfId="51" applyNumberFormat="1" applyFont="1" applyFill="1" applyBorder="1" applyAlignment="1">
      <alignment horizontal="center" vertical="center"/>
    </xf>
    <xf numFmtId="197" fontId="204" fillId="83" borderId="35" xfId="51" applyNumberFormat="1" applyFont="1" applyFill="1" applyBorder="1" applyAlignment="1">
      <alignment horizontal="center" vertical="center"/>
    </xf>
    <xf numFmtId="197" fontId="249" fillId="83" borderId="175" xfId="56" applyNumberFormat="1" applyFont="1" applyFill="1" applyBorder="1" applyAlignment="1">
      <alignment horizontal="center" vertical="center" wrapText="1"/>
    </xf>
    <xf numFmtId="197" fontId="249" fillId="83" borderId="176" xfId="56" applyNumberFormat="1" applyFont="1" applyFill="1" applyBorder="1" applyAlignment="1">
      <alignment horizontal="center" vertical="center" wrapText="1"/>
    </xf>
    <xf numFmtId="0" fontId="1" fillId="0" borderId="0" xfId="51" applyAlignment="1">
      <alignment wrapText="1"/>
    </xf>
    <xf numFmtId="0" fontId="238" fillId="0" borderId="0" xfId="51" applyFont="1" applyAlignment="1">
      <alignment wrapText="1"/>
    </xf>
    <xf numFmtId="0" fontId="79" fillId="0" borderId="0" xfId="51" applyFont="1" applyAlignment="1">
      <alignment wrapText="1"/>
    </xf>
    <xf numFmtId="0" fontId="51" fillId="0" borderId="167" xfId="45" applyFont="1" applyBorder="1" applyAlignment="1">
      <alignment horizontal="center" vertical="center" wrapText="1"/>
    </xf>
    <xf numFmtId="15" fontId="51" fillId="0" borderId="170" xfId="45" applyNumberFormat="1" applyFont="1" applyBorder="1" applyAlignment="1">
      <alignment horizontal="center" vertical="center" textRotation="90" wrapText="1"/>
    </xf>
    <xf numFmtId="0" fontId="236" fillId="46" borderId="184" xfId="51" applyFont="1" applyFill="1" applyBorder="1" applyAlignment="1">
      <alignment horizontal="center" wrapText="1"/>
    </xf>
    <xf numFmtId="197" fontId="204" fillId="82" borderId="175" xfId="51" applyNumberFormat="1" applyFont="1" applyFill="1" applyBorder="1" applyAlignment="1">
      <alignment horizontal="center" vertical="center" wrapText="1"/>
    </xf>
    <xf numFmtId="197" fontId="204" fillId="82" borderId="180" xfId="51" applyNumberFormat="1" applyFont="1" applyFill="1" applyBorder="1" applyAlignment="1">
      <alignment horizontal="center" vertical="center" wrapText="1"/>
    </xf>
    <xf numFmtId="197" fontId="219" fillId="0" borderId="175" xfId="51" applyNumberFormat="1" applyFont="1" applyBorder="1" applyAlignment="1">
      <alignment horizontal="center" vertical="center" wrapText="1"/>
    </xf>
    <xf numFmtId="0" fontId="70" fillId="23" borderId="0" xfId="45" applyFont="1" applyFill="1" applyAlignment="1">
      <alignment horizontal="centerContinuous" vertical="center" wrapText="1"/>
    </xf>
    <xf numFmtId="0" fontId="1" fillId="0" borderId="0" xfId="51" applyAlignment="1">
      <alignment horizontal="center" wrapText="1"/>
    </xf>
    <xf numFmtId="0" fontId="73" fillId="0" borderId="0" xfId="51" applyFont="1" applyAlignment="1">
      <alignment wrapText="1"/>
    </xf>
    <xf numFmtId="0" fontId="248" fillId="0" borderId="138" xfId="51" applyFont="1" applyBorder="1" applyAlignment="1">
      <alignment horizontal="center"/>
    </xf>
    <xf numFmtId="10" fontId="245" fillId="0" borderId="138" xfId="56" applyNumberFormat="1" applyFont="1" applyBorder="1"/>
    <xf numFmtId="0" fontId="248" fillId="0" borderId="138" xfId="51" applyFont="1" applyBorder="1" applyAlignment="1">
      <alignment vertical="center"/>
    </xf>
    <xf numFmtId="0" fontId="252" fillId="0" borderId="130" xfId="51" applyFont="1" applyBorder="1" applyAlignment="1">
      <alignment horizontal="center" vertical="center" wrapText="1"/>
    </xf>
    <xf numFmtId="0" fontId="254" fillId="50" borderId="130" xfId="51" applyFont="1" applyFill="1" applyBorder="1" applyAlignment="1">
      <alignment horizontal="center" vertical="center"/>
    </xf>
    <xf numFmtId="0" fontId="255" fillId="50" borderId="130" xfId="51" applyFont="1" applyFill="1" applyBorder="1"/>
    <xf numFmtId="0" fontId="247" fillId="0" borderId="130" xfId="51" applyFont="1" applyBorder="1" applyAlignment="1">
      <alignment horizontal="center"/>
    </xf>
    <xf numFmtId="0" fontId="246" fillId="46" borderId="130" xfId="51" applyFont="1" applyFill="1" applyBorder="1" applyAlignment="1">
      <alignment horizontal="center" vertical="center" wrapText="1"/>
    </xf>
    <xf numFmtId="0" fontId="246" fillId="46" borderId="130" xfId="51" applyFont="1" applyFill="1" applyBorder="1" applyAlignment="1">
      <alignment horizontal="center" vertical="center"/>
    </xf>
    <xf numFmtId="0" fontId="247" fillId="46" borderId="130" xfId="51" applyFont="1" applyFill="1" applyBorder="1" applyAlignment="1">
      <alignment horizontal="center"/>
    </xf>
    <xf numFmtId="0" fontId="252" fillId="0" borderId="130" xfId="51" applyFont="1" applyBorder="1" applyAlignment="1">
      <alignment horizontal="left" vertical="center"/>
    </xf>
    <xf numFmtId="10" fontId="245" fillId="0" borderId="130" xfId="56" applyNumberFormat="1" applyFont="1" applyFill="1" applyBorder="1" applyAlignment="1">
      <alignment horizontal="center"/>
    </xf>
    <xf numFmtId="0" fontId="248" fillId="0" borderId="130" xfId="51" applyFont="1" applyBorder="1" applyAlignment="1">
      <alignment horizontal="center" vertical="center"/>
    </xf>
    <xf numFmtId="14" fontId="244" fillId="42" borderId="130" xfId="60" applyNumberFormat="1" applyFont="1" applyFill="1" applyBorder="1" applyAlignment="1">
      <alignment horizontal="center" vertical="center" wrapText="1"/>
    </xf>
    <xf numFmtId="14" fontId="244" fillId="42" borderId="130" xfId="60" applyNumberFormat="1" applyFont="1" applyFill="1" applyBorder="1" applyAlignment="1">
      <alignment horizontal="left" vertical="center" wrapText="1"/>
    </xf>
    <xf numFmtId="0" fontId="244" fillId="42" borderId="130" xfId="60" applyFont="1" applyFill="1" applyBorder="1" applyAlignment="1">
      <alignment horizontal="center" vertical="center" wrapText="1"/>
    </xf>
    <xf numFmtId="14" fontId="242" fillId="42" borderId="130" xfId="60" applyNumberFormat="1" applyFont="1" applyFill="1" applyBorder="1" applyAlignment="1">
      <alignment horizontal="left" vertical="center" wrapText="1"/>
    </xf>
    <xf numFmtId="14" fontId="242" fillId="42" borderId="130" xfId="60" applyNumberFormat="1" applyFont="1" applyFill="1" applyBorder="1" applyAlignment="1">
      <alignment horizontal="center" vertical="center" wrapText="1"/>
    </xf>
    <xf numFmtId="14" fontId="244" fillId="55" borderId="130" xfId="60" applyNumberFormat="1" applyFont="1" applyFill="1" applyBorder="1" applyAlignment="1">
      <alignment horizontal="center" vertical="center" wrapText="1"/>
    </xf>
    <xf numFmtId="14" fontId="239" fillId="55" borderId="130" xfId="60" applyNumberFormat="1" applyFont="1" applyFill="1" applyBorder="1" applyAlignment="1">
      <alignment horizontal="left" vertical="center" wrapText="1"/>
    </xf>
    <xf numFmtId="0" fontId="239" fillId="55" borderId="130" xfId="60" applyFont="1" applyFill="1" applyBorder="1" applyAlignment="1">
      <alignment horizontal="center" vertical="center"/>
    </xf>
    <xf numFmtId="14" fontId="239" fillId="55" borderId="130" xfId="60" applyNumberFormat="1" applyFont="1" applyFill="1" applyBorder="1" applyAlignment="1">
      <alignment horizontal="center" vertical="center" wrapText="1"/>
    </xf>
    <xf numFmtId="0" fontId="239" fillId="55" borderId="130" xfId="60" applyFont="1" applyFill="1" applyBorder="1" applyAlignment="1">
      <alignment horizontal="center" vertical="center" wrapText="1"/>
    </xf>
    <xf numFmtId="191" fontId="244" fillId="42" borderId="130" xfId="60" applyNumberFormat="1" applyFont="1" applyFill="1" applyBorder="1" applyAlignment="1">
      <alignment horizontal="center" vertical="center" wrapText="1"/>
    </xf>
    <xf numFmtId="218" fontId="254" fillId="50" borderId="130" xfId="51" applyNumberFormat="1" applyFont="1" applyFill="1" applyBorder="1" applyAlignment="1" applyProtection="1">
      <alignment horizontal="center" vertical="top" wrapText="1"/>
      <protection locked="0" hidden="1"/>
    </xf>
    <xf numFmtId="218" fontId="255" fillId="50" borderId="130" xfId="51" applyNumberFormat="1" applyFont="1" applyFill="1" applyBorder="1" applyAlignment="1">
      <alignment horizontal="center"/>
    </xf>
    <xf numFmtId="205" fontId="254" fillId="50" borderId="130" xfId="42" applyNumberFormat="1" applyFont="1" applyFill="1" applyBorder="1" applyAlignment="1" applyProtection="1">
      <alignment horizontal="center" vertical="top" wrapText="1"/>
      <protection locked="0" hidden="1"/>
    </xf>
    <xf numFmtId="205" fontId="255" fillId="50" borderId="130" xfId="42" applyNumberFormat="1" applyFont="1" applyFill="1" applyBorder="1" applyAlignment="1" applyProtection="1">
      <alignment horizontal="center" vertical="top" wrapText="1"/>
      <protection locked="0" hidden="1"/>
    </xf>
    <xf numFmtId="10" fontId="250" fillId="56" borderId="130" xfId="56" applyNumberFormat="1" applyFont="1" applyFill="1" applyBorder="1" applyAlignment="1" applyProtection="1">
      <alignment horizontal="center" vertical="top" wrapText="1"/>
      <protection locked="0" hidden="1"/>
    </xf>
    <xf numFmtId="14" fontId="241" fillId="55" borderId="130" xfId="60" applyNumberFormat="1" applyFont="1" applyFill="1" applyBorder="1" applyAlignment="1">
      <alignment horizontal="left" vertical="center" wrapText="1"/>
    </xf>
    <xf numFmtId="191" fontId="239" fillId="55" borderId="130" xfId="60" applyNumberFormat="1" applyFont="1" applyFill="1" applyBorder="1" applyAlignment="1">
      <alignment horizontal="center" vertical="center" wrapText="1"/>
    </xf>
    <xf numFmtId="217" fontId="244" fillId="55" borderId="130" xfId="60" applyNumberFormat="1" applyFont="1" applyFill="1" applyBorder="1" applyAlignment="1">
      <alignment horizontal="center" vertical="center" wrapText="1"/>
    </xf>
    <xf numFmtId="191" fontId="244" fillId="0" borderId="130" xfId="60" applyNumberFormat="1" applyFont="1" applyBorder="1" applyAlignment="1">
      <alignment horizontal="center" vertical="center" wrapText="1"/>
    </xf>
    <xf numFmtId="49" fontId="244" fillId="42" borderId="130" xfId="60" applyNumberFormat="1" applyFont="1" applyFill="1" applyBorder="1" applyAlignment="1">
      <alignment horizontal="center" vertical="center" wrapText="1"/>
    </xf>
    <xf numFmtId="0" fontId="242" fillId="42" borderId="130" xfId="39" applyFont="1" applyFill="1" applyBorder="1" applyAlignment="1">
      <alignment horizontal="center" vertical="center" wrapText="1"/>
    </xf>
    <xf numFmtId="0" fontId="241" fillId="55" borderId="130" xfId="39" applyFont="1" applyFill="1" applyBorder="1" applyAlignment="1">
      <alignment horizontal="center" vertical="center" wrapText="1"/>
    </xf>
    <xf numFmtId="0" fontId="93" fillId="0" borderId="0" xfId="0" applyFont="1"/>
    <xf numFmtId="0" fontId="32" fillId="0" borderId="0" xfId="0" applyFont="1"/>
    <xf numFmtId="14" fontId="32" fillId="86" borderId="0" xfId="60" applyNumberFormat="1" applyFont="1" applyFill="1" applyAlignment="1">
      <alignment horizontal="center" vertical="center" wrapText="1"/>
    </xf>
    <xf numFmtId="49" fontId="32" fillId="84" borderId="0" xfId="60" applyNumberFormat="1" applyFont="1" applyFill="1" applyAlignment="1">
      <alignment horizontal="center" vertical="center" wrapText="1"/>
    </xf>
    <xf numFmtId="0" fontId="32" fillId="0" borderId="0" xfId="0" applyFont="1" applyAlignment="1">
      <alignment horizontal="center"/>
    </xf>
    <xf numFmtId="14" fontId="32" fillId="85" borderId="0" xfId="60" applyNumberFormat="1" applyFont="1" applyFill="1" applyAlignment="1">
      <alignment horizontal="center" vertical="center" wrapText="1"/>
    </xf>
    <xf numFmtId="0" fontId="32" fillId="72" borderId="0" xfId="0" applyFont="1" applyFill="1" applyAlignment="1">
      <alignment horizontal="center"/>
    </xf>
    <xf numFmtId="14" fontId="256" fillId="0" borderId="130" xfId="60" applyNumberFormat="1" applyFont="1" applyBorder="1" applyAlignment="1">
      <alignment horizontal="left" vertical="center" wrapText="1"/>
    </xf>
    <xf numFmtId="0" fontId="32" fillId="58" borderId="0" xfId="0" applyFont="1" applyFill="1" applyAlignment="1">
      <alignment horizontal="center"/>
    </xf>
    <xf numFmtId="0" fontId="153" fillId="0" borderId="0" xfId="39" applyFont="1" applyAlignment="1">
      <alignment vertical="center"/>
    </xf>
    <xf numFmtId="0" fontId="154" fillId="0" borderId="0" xfId="39" applyFont="1" applyAlignment="1">
      <alignment horizontal="left" vertical="center"/>
    </xf>
    <xf numFmtId="0" fontId="154" fillId="0" borderId="0" xfId="39" applyFont="1" applyAlignment="1">
      <alignment vertical="center"/>
    </xf>
    <xf numFmtId="0" fontId="0" fillId="0" borderId="0" xfId="0" applyAlignment="1">
      <alignment vertical="center" wrapText="1"/>
    </xf>
    <xf numFmtId="49" fontId="125" fillId="0" borderId="97" xfId="0" applyNumberFormat="1" applyFont="1" applyBorder="1" applyAlignment="1">
      <alignment vertical="center" wrapText="1"/>
    </xf>
    <xf numFmtId="0" fontId="125" fillId="0" borderId="98" xfId="0" applyFont="1" applyBorder="1" applyAlignment="1">
      <alignment vertical="center" wrapText="1"/>
    </xf>
    <xf numFmtId="183" fontId="125" fillId="0" borderId="98" xfId="0" applyNumberFormat="1" applyFont="1" applyBorder="1" applyAlignment="1">
      <alignment vertical="center" wrapText="1"/>
    </xf>
    <xf numFmtId="190" fontId="125" fillId="0" borderId="98" xfId="0" applyNumberFormat="1" applyFont="1" applyBorder="1" applyAlignment="1">
      <alignment vertical="center" wrapText="1"/>
    </xf>
    <xf numFmtId="184" fontId="125" fillId="0" borderId="98" xfId="0" applyNumberFormat="1" applyFont="1" applyBorder="1" applyAlignment="1">
      <alignment vertical="center" wrapText="1"/>
    </xf>
    <xf numFmtId="0" fontId="129" fillId="0" borderId="98" xfId="0" applyFont="1" applyBorder="1" applyAlignment="1">
      <alignment vertical="center" wrapText="1"/>
    </xf>
    <xf numFmtId="0" fontId="125" fillId="0" borderId="99" xfId="0" applyFont="1" applyBorder="1" applyAlignment="1">
      <alignment vertical="center" wrapText="1"/>
    </xf>
    <xf numFmtId="0" fontId="41" fillId="0" borderId="88" xfId="0" applyFont="1" applyBorder="1" applyAlignment="1">
      <alignment vertical="center" wrapText="1"/>
    </xf>
    <xf numFmtId="190" fontId="41" fillId="0" borderId="98" xfId="0" applyNumberFormat="1" applyFont="1" applyBorder="1" applyAlignment="1">
      <alignment horizontal="center" vertical="center" wrapText="1"/>
    </xf>
    <xf numFmtId="49" fontId="132" fillId="65" borderId="0" xfId="0" applyNumberFormat="1" applyFont="1" applyFill="1" applyAlignment="1">
      <alignment horizontal="center" vertical="center" wrapText="1"/>
    </xf>
    <xf numFmtId="49" fontId="125" fillId="0" borderId="100" xfId="0" applyNumberFormat="1" applyFont="1" applyBorder="1" applyAlignment="1">
      <alignment vertical="center" wrapText="1"/>
    </xf>
    <xf numFmtId="0" fontId="125" fillId="0" borderId="88" xfId="0" applyFont="1" applyBorder="1" applyAlignment="1">
      <alignment vertical="center" wrapText="1"/>
    </xf>
    <xf numFmtId="183" fontId="125" fillId="0" borderId="88" xfId="0" applyNumberFormat="1" applyFont="1" applyBorder="1" applyAlignment="1">
      <alignment vertical="center" wrapText="1"/>
    </xf>
    <xf numFmtId="190" fontId="125" fillId="0" borderId="88" xfId="0" applyNumberFormat="1" applyFont="1" applyBorder="1" applyAlignment="1">
      <alignment vertical="center" wrapText="1"/>
    </xf>
    <xf numFmtId="184" fontId="125" fillId="0" borderId="88" xfId="0" applyNumberFormat="1" applyFont="1" applyBorder="1" applyAlignment="1">
      <alignment vertical="center" wrapText="1"/>
    </xf>
    <xf numFmtId="0" fontId="129" fillId="0" borderId="88" xfId="0" applyFont="1" applyBorder="1" applyAlignment="1">
      <alignment vertical="center" wrapText="1"/>
    </xf>
    <xf numFmtId="0" fontId="125" fillId="0" borderId="101" xfId="0" applyFont="1" applyBorder="1" applyAlignment="1">
      <alignment vertical="center" wrapText="1"/>
    </xf>
    <xf numFmtId="49" fontId="41" fillId="0" borderId="100" xfId="0" applyNumberFormat="1" applyFont="1" applyBorder="1" applyAlignment="1">
      <alignment vertical="center" wrapText="1"/>
    </xf>
    <xf numFmtId="183" fontId="41" fillId="0" borderId="88" xfId="0" applyNumberFormat="1" applyFont="1" applyBorder="1" applyAlignment="1">
      <alignment vertical="center" wrapText="1"/>
    </xf>
    <xf numFmtId="190" fontId="41" fillId="0" borderId="88" xfId="0" applyNumberFormat="1" applyFont="1" applyBorder="1" applyAlignment="1">
      <alignment vertical="center" wrapText="1"/>
    </xf>
    <xf numFmtId="184" fontId="41" fillId="0" borderId="88" xfId="0" applyNumberFormat="1" applyFont="1" applyBorder="1" applyAlignment="1">
      <alignment vertical="center" wrapText="1"/>
    </xf>
    <xf numFmtId="0" fontId="128" fillId="0" borderId="88" xfId="0" applyFont="1" applyBorder="1" applyAlignment="1">
      <alignment vertical="center" wrapText="1"/>
    </xf>
    <xf numFmtId="0" fontId="41" fillId="0" borderId="101" xfId="0" applyFont="1" applyBorder="1" applyAlignment="1">
      <alignment vertical="center" wrapText="1"/>
    </xf>
    <xf numFmtId="49" fontId="125" fillId="60" borderId="100" xfId="0" applyNumberFormat="1" applyFont="1" applyFill="1" applyBorder="1" applyAlignment="1">
      <alignment vertical="center" wrapText="1"/>
    </xf>
    <xf numFmtId="0" fontId="125" fillId="60" borderId="88" xfId="0" applyFont="1" applyFill="1" applyBorder="1" applyAlignment="1">
      <alignment vertical="center" wrapText="1"/>
    </xf>
    <xf numFmtId="183" fontId="125" fillId="60" borderId="88" xfId="0" applyNumberFormat="1" applyFont="1" applyFill="1" applyBorder="1" applyAlignment="1">
      <alignment vertical="center" wrapText="1"/>
    </xf>
    <xf numFmtId="190" fontId="125" fillId="60" borderId="88" xfId="0" applyNumberFormat="1" applyFont="1" applyFill="1" applyBorder="1" applyAlignment="1">
      <alignment vertical="center" wrapText="1"/>
    </xf>
    <xf numFmtId="184" fontId="125" fillId="60" borderId="88" xfId="0" applyNumberFormat="1" applyFont="1" applyFill="1" applyBorder="1" applyAlignment="1">
      <alignment vertical="center" wrapText="1"/>
    </xf>
    <xf numFmtId="0" fontId="129" fillId="60" borderId="88" xfId="0" applyFont="1" applyFill="1" applyBorder="1" applyAlignment="1">
      <alignment vertical="center" wrapText="1"/>
    </xf>
    <xf numFmtId="0" fontId="125" fillId="60" borderId="101" xfId="0" applyFont="1" applyFill="1" applyBorder="1" applyAlignment="1">
      <alignment vertical="center" wrapText="1"/>
    </xf>
    <xf numFmtId="49" fontId="125" fillId="61" borderId="100" xfId="0" applyNumberFormat="1" applyFont="1" applyFill="1" applyBorder="1" applyAlignment="1">
      <alignment vertical="center" wrapText="1"/>
    </xf>
    <xf numFmtId="0" fontId="125" fillId="61" borderId="88" xfId="0" applyFont="1" applyFill="1" applyBorder="1" applyAlignment="1">
      <alignment vertical="center" wrapText="1"/>
    </xf>
    <xf numFmtId="183" fontId="125" fillId="61" borderId="88" xfId="0" applyNumberFormat="1" applyFont="1" applyFill="1" applyBorder="1" applyAlignment="1">
      <alignment vertical="center" wrapText="1"/>
    </xf>
    <xf numFmtId="190" fontId="125" fillId="61" borderId="88" xfId="0" applyNumberFormat="1" applyFont="1" applyFill="1" applyBorder="1" applyAlignment="1">
      <alignment vertical="center" wrapText="1"/>
    </xf>
    <xf numFmtId="184" fontId="125" fillId="61" borderId="88" xfId="0" applyNumberFormat="1" applyFont="1" applyFill="1" applyBorder="1" applyAlignment="1">
      <alignment vertical="center" wrapText="1"/>
    </xf>
    <xf numFmtId="0" fontId="129" fillId="61" borderId="88" xfId="0" applyFont="1" applyFill="1" applyBorder="1" applyAlignment="1">
      <alignment vertical="center" wrapText="1"/>
    </xf>
    <xf numFmtId="0" fontId="125" fillId="61" borderId="101" xfId="0" applyFont="1" applyFill="1" applyBorder="1" applyAlignment="1">
      <alignment vertical="center" wrapText="1"/>
    </xf>
    <xf numFmtId="49" fontId="125" fillId="46" borderId="100" xfId="0" applyNumberFormat="1" applyFont="1" applyFill="1" applyBorder="1" applyAlignment="1">
      <alignment vertical="center" wrapText="1"/>
    </xf>
    <xf numFmtId="0" fontId="125" fillId="46" borderId="88" xfId="0" applyFont="1" applyFill="1" applyBorder="1" applyAlignment="1">
      <alignment vertical="center" wrapText="1"/>
    </xf>
    <xf numFmtId="183" fontId="125" fillId="46" borderId="88" xfId="0" applyNumberFormat="1" applyFont="1" applyFill="1" applyBorder="1" applyAlignment="1">
      <alignment vertical="center" wrapText="1"/>
    </xf>
    <xf numFmtId="190" fontId="125" fillId="46" borderId="88" xfId="0" applyNumberFormat="1" applyFont="1" applyFill="1" applyBorder="1" applyAlignment="1">
      <alignment vertical="center" wrapText="1"/>
    </xf>
    <xf numFmtId="184" fontId="125" fillId="46" borderId="88" xfId="0" applyNumberFormat="1" applyFont="1" applyFill="1" applyBorder="1" applyAlignment="1">
      <alignment vertical="center" wrapText="1"/>
    </xf>
    <xf numFmtId="0" fontId="129" fillId="46" borderId="88" xfId="0" applyFont="1" applyFill="1" applyBorder="1" applyAlignment="1">
      <alignment vertical="center" wrapText="1"/>
    </xf>
    <xf numFmtId="0" fontId="125" fillId="46" borderId="101" xfId="0" applyFont="1" applyFill="1" applyBorder="1" applyAlignment="1">
      <alignment vertical="center" wrapText="1"/>
    </xf>
    <xf numFmtId="49" fontId="125" fillId="58" borderId="100" xfId="0" applyNumberFormat="1" applyFont="1" applyFill="1" applyBorder="1" applyAlignment="1">
      <alignment vertical="center" wrapText="1"/>
    </xf>
    <xf numFmtId="0" fontId="125" fillId="58" borderId="88" xfId="0" applyFont="1" applyFill="1" applyBorder="1" applyAlignment="1">
      <alignment vertical="center" wrapText="1"/>
    </xf>
    <xf numFmtId="183" fontId="125" fillId="58" borderId="88" xfId="0" applyNumberFormat="1" applyFont="1" applyFill="1" applyBorder="1" applyAlignment="1">
      <alignment vertical="center" wrapText="1"/>
    </xf>
    <xf numFmtId="190" fontId="125" fillId="58" borderId="88" xfId="0" applyNumberFormat="1" applyFont="1" applyFill="1" applyBorder="1" applyAlignment="1">
      <alignment vertical="center" wrapText="1"/>
    </xf>
    <xf numFmtId="184" fontId="125" fillId="58" borderId="88" xfId="0" applyNumberFormat="1" applyFont="1" applyFill="1" applyBorder="1" applyAlignment="1">
      <alignment vertical="center" wrapText="1"/>
    </xf>
    <xf numFmtId="0" fontId="129" fillId="58" borderId="88" xfId="0" applyFont="1" applyFill="1" applyBorder="1" applyAlignment="1">
      <alignment vertical="center" wrapText="1"/>
    </xf>
    <xf numFmtId="0" fontId="125" fillId="58" borderId="101" xfId="0" applyFont="1" applyFill="1" applyBorder="1" applyAlignment="1">
      <alignment vertical="center" wrapText="1"/>
    </xf>
    <xf numFmtId="49" fontId="125" fillId="62" borderId="100" xfId="0" applyNumberFormat="1" applyFont="1" applyFill="1" applyBorder="1" applyAlignment="1">
      <alignment vertical="center" wrapText="1"/>
    </xf>
    <xf numFmtId="0" fontId="125" fillId="62" borderId="88" xfId="0" applyFont="1" applyFill="1" applyBorder="1" applyAlignment="1">
      <alignment vertical="center" wrapText="1"/>
    </xf>
    <xf numFmtId="183" fontId="125" fillId="62" borderId="88" xfId="0" applyNumberFormat="1" applyFont="1" applyFill="1" applyBorder="1" applyAlignment="1">
      <alignment vertical="center" wrapText="1"/>
    </xf>
    <xf numFmtId="190" fontId="125" fillId="62" borderId="88" xfId="0" applyNumberFormat="1" applyFont="1" applyFill="1" applyBorder="1" applyAlignment="1">
      <alignment vertical="center" wrapText="1"/>
    </xf>
    <xf numFmtId="184" fontId="125" fillId="62" borderId="88" xfId="0" applyNumberFormat="1" applyFont="1" applyFill="1" applyBorder="1" applyAlignment="1">
      <alignment vertical="center" wrapText="1"/>
    </xf>
    <xf numFmtId="0" fontId="129" fillId="62" borderId="88" xfId="0" applyFont="1" applyFill="1" applyBorder="1" applyAlignment="1">
      <alignment vertical="center" wrapText="1"/>
    </xf>
    <xf numFmtId="0" fontId="125" fillId="62" borderId="101" xfId="0" applyFont="1" applyFill="1" applyBorder="1" applyAlignment="1">
      <alignment vertical="center" wrapText="1"/>
    </xf>
    <xf numFmtId="49" fontId="125" fillId="63" borderId="100" xfId="0" applyNumberFormat="1" applyFont="1" applyFill="1" applyBorder="1" applyAlignment="1">
      <alignment vertical="center" wrapText="1"/>
    </xf>
    <xf numFmtId="0" fontId="125" fillId="63" borderId="88" xfId="0" applyFont="1" applyFill="1" applyBorder="1" applyAlignment="1">
      <alignment vertical="center" wrapText="1"/>
    </xf>
    <xf numFmtId="183" fontId="125" fillId="63" borderId="88" xfId="0" applyNumberFormat="1" applyFont="1" applyFill="1" applyBorder="1" applyAlignment="1">
      <alignment vertical="center" wrapText="1"/>
    </xf>
    <xf numFmtId="190" fontId="125" fillId="63" borderId="88" xfId="0" applyNumberFormat="1" applyFont="1" applyFill="1" applyBorder="1" applyAlignment="1">
      <alignment vertical="center" wrapText="1"/>
    </xf>
    <xf numFmtId="184" fontId="125" fillId="63" borderId="88" xfId="0" applyNumberFormat="1" applyFont="1" applyFill="1" applyBorder="1" applyAlignment="1">
      <alignment vertical="center" wrapText="1"/>
    </xf>
    <xf numFmtId="0" fontId="129" fillId="63" borderId="88" xfId="0" applyFont="1" applyFill="1" applyBorder="1" applyAlignment="1">
      <alignment vertical="center" wrapText="1"/>
    </xf>
    <xf numFmtId="0" fontId="125" fillId="63" borderId="101" xfId="0" applyFont="1" applyFill="1" applyBorder="1" applyAlignment="1">
      <alignment vertical="center" wrapText="1"/>
    </xf>
    <xf numFmtId="190" fontId="41" fillId="0" borderId="88" xfId="0" applyNumberFormat="1" applyFont="1" applyBorder="1" applyAlignment="1">
      <alignment horizontal="center" vertical="center" wrapText="1"/>
    </xf>
    <xf numFmtId="49" fontId="125" fillId="0" borderId="102" xfId="0" applyNumberFormat="1" applyFont="1" applyBorder="1" applyAlignment="1">
      <alignment vertical="center" wrapText="1"/>
    </xf>
    <xf numFmtId="0" fontId="125" fillId="0" borderId="103" xfId="0" applyFont="1" applyBorder="1" applyAlignment="1">
      <alignment vertical="center" wrapText="1"/>
    </xf>
    <xf numFmtId="183" fontId="125" fillId="0" borderId="103" xfId="0" applyNumberFormat="1" applyFont="1" applyBorder="1" applyAlignment="1">
      <alignment vertical="center" wrapText="1"/>
    </xf>
    <xf numFmtId="190" fontId="125" fillId="0" borderId="103" xfId="0" applyNumberFormat="1" applyFont="1" applyBorder="1" applyAlignment="1">
      <alignment vertical="center" wrapText="1"/>
    </xf>
    <xf numFmtId="184" fontId="125" fillId="0" borderId="103" xfId="0" applyNumberFormat="1" applyFont="1" applyBorder="1" applyAlignment="1">
      <alignment vertical="center" wrapText="1"/>
    </xf>
    <xf numFmtId="0" fontId="129" fillId="0" borderId="103" xfId="0" applyFont="1" applyBorder="1" applyAlignment="1">
      <alignment vertical="center" wrapText="1"/>
    </xf>
    <xf numFmtId="0" fontId="125" fillId="0" borderId="104" xfId="0" applyFont="1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142" xfId="52" applyBorder="1" applyAlignment="1">
      <alignment horizontal="center" wrapText="1"/>
    </xf>
    <xf numFmtId="0" fontId="4" fillId="0" borderId="143" xfId="52" applyBorder="1" applyAlignment="1">
      <alignment horizontal="center" wrapText="1"/>
    </xf>
    <xf numFmtId="0" fontId="4" fillId="0" borderId="144" xfId="52" applyBorder="1" applyAlignment="1">
      <alignment horizontal="center" wrapText="1"/>
    </xf>
    <xf numFmtId="0" fontId="4" fillId="0" borderId="146" xfId="52" applyBorder="1" applyAlignment="1">
      <alignment horizontal="center" wrapText="1"/>
    </xf>
    <xf numFmtId="0" fontId="4" fillId="0" borderId="0" xfId="52" applyAlignment="1">
      <alignment horizontal="center" wrapText="1"/>
    </xf>
    <xf numFmtId="0" fontId="4" fillId="0" borderId="147" xfId="52" applyBorder="1" applyAlignment="1">
      <alignment horizontal="center" wrapText="1"/>
    </xf>
    <xf numFmtId="0" fontId="4" fillId="0" borderId="148" xfId="52" applyBorder="1" applyAlignment="1">
      <alignment horizontal="center" wrapText="1"/>
    </xf>
    <xf numFmtId="0" fontId="4" fillId="0" borderId="149" xfId="52" applyBorder="1" applyAlignment="1">
      <alignment horizontal="center" wrapText="1"/>
    </xf>
    <xf numFmtId="0" fontId="4" fillId="0" borderId="150" xfId="52" applyBorder="1" applyAlignment="1">
      <alignment horizontal="center" wrapText="1"/>
    </xf>
    <xf numFmtId="0" fontId="155" fillId="23" borderId="152" xfId="52" applyFont="1" applyFill="1" applyBorder="1" applyAlignment="1">
      <alignment horizontal="center" vertical="center" wrapText="1"/>
    </xf>
    <xf numFmtId="0" fontId="155" fillId="23" borderId="153" xfId="52" applyFont="1" applyFill="1" applyBorder="1" applyAlignment="1">
      <alignment horizontal="center" vertical="center" wrapText="1"/>
    </xf>
    <xf numFmtId="0" fontId="155" fillId="23" borderId="154" xfId="52" applyFont="1" applyFill="1" applyBorder="1" applyAlignment="1">
      <alignment horizontal="center" vertical="center" wrapText="1"/>
    </xf>
    <xf numFmtId="0" fontId="155" fillId="23" borderId="148" xfId="52" applyFont="1" applyFill="1" applyBorder="1" applyAlignment="1">
      <alignment horizontal="center" vertical="center" wrapText="1"/>
    </xf>
    <xf numFmtId="0" fontId="155" fillId="23" borderId="149" xfId="52" applyFont="1" applyFill="1" applyBorder="1" applyAlignment="1">
      <alignment horizontal="center" vertical="center" wrapText="1"/>
    </xf>
    <xf numFmtId="0" fontId="155" fillId="23" borderId="150" xfId="52" applyFont="1" applyFill="1" applyBorder="1" applyAlignment="1">
      <alignment horizontal="center" vertical="center" wrapText="1"/>
    </xf>
    <xf numFmtId="0" fontId="6" fillId="0" borderId="145" xfId="51" applyFont="1" applyBorder="1" applyAlignment="1">
      <alignment horizontal="center" vertical="center"/>
    </xf>
    <xf numFmtId="0" fontId="188" fillId="23" borderId="145" xfId="52" applyFont="1" applyFill="1" applyBorder="1" applyAlignment="1">
      <alignment horizontal="center" vertical="center" wrapText="1"/>
    </xf>
    <xf numFmtId="14" fontId="6" fillId="0" borderId="145" xfId="51" applyNumberFormat="1" applyFont="1" applyBorder="1" applyAlignment="1">
      <alignment horizontal="center" vertical="center"/>
    </xf>
    <xf numFmtId="0" fontId="24" fillId="0" borderId="19" xfId="19" applyFont="1" applyBorder="1" applyAlignment="1">
      <alignment horizontal="left" vertical="center" wrapText="1"/>
    </xf>
    <xf numFmtId="0" fontId="24" fillId="0" borderId="11" xfId="19" applyFont="1" applyBorder="1" applyAlignment="1">
      <alignment horizontal="left" vertical="center"/>
    </xf>
    <xf numFmtId="0" fontId="24" fillId="0" borderId="20" xfId="19" applyFont="1" applyBorder="1" applyAlignment="1">
      <alignment horizontal="left" vertical="center"/>
    </xf>
    <xf numFmtId="0" fontId="24" fillId="0" borderId="12" xfId="19" applyFont="1" applyBorder="1" applyAlignment="1">
      <alignment horizontal="left" vertical="center"/>
    </xf>
    <xf numFmtId="0" fontId="24" fillId="0" borderId="13" xfId="19" applyFont="1" applyBorder="1" applyAlignment="1">
      <alignment horizontal="left" vertical="center"/>
    </xf>
    <xf numFmtId="0" fontId="24" fillId="0" borderId="15" xfId="19" applyFont="1" applyBorder="1" applyAlignment="1">
      <alignment horizontal="left" vertical="center"/>
    </xf>
    <xf numFmtId="0" fontId="46" fillId="0" borderId="0" xfId="19" applyFont="1" applyAlignment="1">
      <alignment horizontal="center" vertical="center"/>
    </xf>
    <xf numFmtId="0" fontId="18" fillId="0" borderId="17" xfId="19" applyFont="1" applyBorder="1" applyAlignment="1">
      <alignment horizontal="center"/>
    </xf>
    <xf numFmtId="0" fontId="18" fillId="0" borderId="21" xfId="19" applyFont="1" applyBorder="1" applyAlignment="1">
      <alignment horizontal="center"/>
    </xf>
    <xf numFmtId="0" fontId="18" fillId="0" borderId="16" xfId="19" applyFont="1" applyBorder="1" applyAlignment="1">
      <alignment horizontal="center"/>
    </xf>
    <xf numFmtId="0" fontId="18" fillId="0" borderId="22" xfId="19" applyFont="1" applyBorder="1" applyAlignment="1">
      <alignment horizontal="center"/>
    </xf>
    <xf numFmtId="0" fontId="18" fillId="0" borderId="17" xfId="19" applyFont="1" applyBorder="1" applyAlignment="1">
      <alignment horizontal="center" vertical="center"/>
    </xf>
    <xf numFmtId="0" fontId="18" fillId="0" borderId="17" xfId="19" applyFont="1" applyBorder="1" applyAlignment="1">
      <alignment horizontal="center" vertical="center" wrapText="1"/>
    </xf>
    <xf numFmtId="0" fontId="18" fillId="0" borderId="21" xfId="19" applyFont="1" applyBorder="1" applyAlignment="1">
      <alignment horizontal="left" vertical="center"/>
    </xf>
    <xf numFmtId="0" fontId="18" fillId="0" borderId="16" xfId="19" applyFont="1" applyBorder="1" applyAlignment="1">
      <alignment horizontal="left" vertical="center"/>
    </xf>
    <xf numFmtId="0" fontId="18" fillId="0" borderId="22" xfId="19" applyFont="1" applyBorder="1" applyAlignment="1">
      <alignment horizontal="left" vertical="center"/>
    </xf>
    <xf numFmtId="14" fontId="24" fillId="0" borderId="17" xfId="19" applyNumberFormat="1" applyFont="1" applyBorder="1" applyAlignment="1">
      <alignment horizontal="center" vertical="center"/>
    </xf>
    <xf numFmtId="0" fontId="24" fillId="0" borderId="17" xfId="19" applyFont="1" applyBorder="1" applyAlignment="1">
      <alignment horizontal="center" vertical="center"/>
    </xf>
    <xf numFmtId="0" fontId="29" fillId="8" borderId="17" xfId="19" applyFont="1" applyFill="1" applyBorder="1" applyAlignment="1">
      <alignment horizontal="center"/>
    </xf>
    <xf numFmtId="0" fontId="37" fillId="0" borderId="0" xfId="19" applyFont="1" applyAlignment="1">
      <alignment horizontal="left"/>
    </xf>
    <xf numFmtId="0" fontId="40" fillId="0" borderId="23" xfId="19" applyFont="1" applyBorder="1" applyAlignment="1">
      <alignment horizontal="left"/>
    </xf>
    <xf numFmtId="0" fontId="18" fillId="0" borderId="23" xfId="19" applyFont="1" applyBorder="1" applyAlignment="1">
      <alignment horizontal="center"/>
    </xf>
    <xf numFmtId="0" fontId="23" fillId="0" borderId="0" xfId="19" applyFont="1" applyAlignment="1">
      <alignment horizontal="center" vertical="center"/>
    </xf>
    <xf numFmtId="0" fontId="21" fillId="0" borderId="0" xfId="19" applyFont="1" applyAlignment="1">
      <alignment horizontal="center" vertical="center"/>
    </xf>
    <xf numFmtId="0" fontId="37" fillId="0" borderId="0" xfId="19" applyFont="1" applyAlignment="1">
      <alignment horizontal="center"/>
    </xf>
    <xf numFmtId="0" fontId="45" fillId="0" borderId="0" xfId="19" applyFont="1" applyAlignment="1">
      <alignment horizontal="center" vertical="center"/>
    </xf>
    <xf numFmtId="0" fontId="40" fillId="0" borderId="4" xfId="19" applyFont="1" applyBorder="1" applyAlignment="1">
      <alignment horizontal="left"/>
    </xf>
    <xf numFmtId="0" fontId="18" fillId="0" borderId="4" xfId="19" applyFont="1" applyBorder="1" applyAlignment="1">
      <alignment horizontal="center"/>
    </xf>
    <xf numFmtId="0" fontId="23" fillId="0" borderId="0" xfId="19" applyFont="1" applyAlignment="1">
      <alignment horizontal="center" vertical="center" wrapText="1"/>
    </xf>
    <xf numFmtId="0" fontId="26" fillId="8" borderId="19" xfId="19" applyFont="1" applyFill="1" applyBorder="1" applyAlignment="1">
      <alignment horizontal="center" vertical="center"/>
    </xf>
    <xf numFmtId="0" fontId="26" fillId="8" borderId="11" xfId="19" applyFont="1" applyFill="1" applyBorder="1" applyAlignment="1">
      <alignment horizontal="center" vertical="center"/>
    </xf>
    <xf numFmtId="0" fontId="26" fillId="8" borderId="20" xfId="19" applyFont="1" applyFill="1" applyBorder="1" applyAlignment="1">
      <alignment horizontal="center" vertical="center"/>
    </xf>
    <xf numFmtId="0" fontId="26" fillId="8" borderId="18" xfId="19" applyFont="1" applyFill="1" applyBorder="1" applyAlignment="1">
      <alignment horizontal="center" vertical="center"/>
    </xf>
    <xf numFmtId="0" fontId="26" fillId="8" borderId="0" xfId="19" applyFont="1" applyFill="1" applyAlignment="1">
      <alignment horizontal="center" vertical="center"/>
    </xf>
    <xf numFmtId="0" fontId="26" fillId="8" borderId="14" xfId="19" applyFont="1" applyFill="1" applyBorder="1" applyAlignment="1">
      <alignment horizontal="center" vertical="center"/>
    </xf>
    <xf numFmtId="0" fontId="27" fillId="8" borderId="11" xfId="19" applyFont="1" applyFill="1" applyBorder="1" applyAlignment="1">
      <alignment horizontal="center" vertical="center" wrapText="1"/>
    </xf>
    <xf numFmtId="0" fontId="27" fillId="8" borderId="20" xfId="19" applyFont="1" applyFill="1" applyBorder="1" applyAlignment="1">
      <alignment horizontal="center" vertical="center" wrapText="1"/>
    </xf>
    <xf numFmtId="0" fontId="27" fillId="8" borderId="0" xfId="19" applyFont="1" applyFill="1" applyAlignment="1">
      <alignment horizontal="center" vertical="center" wrapText="1"/>
    </xf>
    <xf numFmtId="0" fontId="27" fillId="8" borderId="14" xfId="19" applyFont="1" applyFill="1" applyBorder="1" applyAlignment="1">
      <alignment horizontal="center" vertical="center" wrapText="1"/>
    </xf>
    <xf numFmtId="0" fontId="27" fillId="8" borderId="13" xfId="19" applyFont="1" applyFill="1" applyBorder="1" applyAlignment="1">
      <alignment horizontal="center" vertical="center" wrapText="1"/>
    </xf>
    <xf numFmtId="0" fontId="27" fillId="8" borderId="15" xfId="19" applyFont="1" applyFill="1" applyBorder="1" applyAlignment="1">
      <alignment horizontal="center" vertical="center" wrapText="1"/>
    </xf>
    <xf numFmtId="0" fontId="27" fillId="8" borderId="12" xfId="19" applyFont="1" applyFill="1" applyBorder="1" applyAlignment="1">
      <alignment horizontal="center" vertical="center" wrapText="1"/>
    </xf>
    <xf numFmtId="0" fontId="27" fillId="8" borderId="18" xfId="19" applyFont="1" applyFill="1" applyBorder="1" applyAlignment="1">
      <alignment horizontal="center" vertical="center" wrapText="1"/>
    </xf>
    <xf numFmtId="0" fontId="36" fillId="8" borderId="18" xfId="19" applyFont="1" applyFill="1" applyBorder="1" applyAlignment="1">
      <alignment horizontal="center" vertical="center"/>
    </xf>
    <xf numFmtId="0" fontId="36" fillId="8" borderId="0" xfId="19" applyFont="1" applyFill="1" applyAlignment="1">
      <alignment horizontal="center" vertical="center"/>
    </xf>
    <xf numFmtId="0" fontId="36" fillId="8" borderId="14" xfId="19" applyFont="1" applyFill="1" applyBorder="1" applyAlignment="1">
      <alignment horizontal="center" vertical="center"/>
    </xf>
    <xf numFmtId="0" fontId="36" fillId="8" borderId="12" xfId="19" applyFont="1" applyFill="1" applyBorder="1" applyAlignment="1">
      <alignment horizontal="center" vertical="center"/>
    </xf>
    <xf numFmtId="0" fontId="36" fillId="8" borderId="13" xfId="19" applyFont="1" applyFill="1" applyBorder="1" applyAlignment="1">
      <alignment horizontal="center" vertical="center"/>
    </xf>
    <xf numFmtId="0" fontId="36" fillId="8" borderId="15" xfId="19" applyFont="1" applyFill="1" applyBorder="1" applyAlignment="1">
      <alignment horizontal="center" vertical="center"/>
    </xf>
    <xf numFmtId="0" fontId="38" fillId="8" borderId="11" xfId="19" applyFont="1" applyFill="1" applyBorder="1" applyAlignment="1">
      <alignment horizontal="center" vertical="center"/>
    </xf>
    <xf numFmtId="0" fontId="42" fillId="8" borderId="11" xfId="19" applyFont="1" applyFill="1" applyBorder="1" applyAlignment="1">
      <alignment horizontal="center" vertical="center"/>
    </xf>
    <xf numFmtId="0" fontId="42" fillId="8" borderId="20" xfId="19" applyFont="1" applyFill="1" applyBorder="1" applyAlignment="1">
      <alignment horizontal="center" vertical="center"/>
    </xf>
    <xf numFmtId="0" fontId="42" fillId="8" borderId="13" xfId="19" applyFont="1" applyFill="1" applyBorder="1" applyAlignment="1">
      <alignment horizontal="center" vertical="center"/>
    </xf>
    <xf numFmtId="0" fontId="42" fillId="8" borderId="15" xfId="19" applyFont="1" applyFill="1" applyBorder="1" applyAlignment="1">
      <alignment horizontal="center" vertical="center"/>
    </xf>
    <xf numFmtId="0" fontId="23" fillId="0" borderId="0" xfId="19" applyFont="1" applyAlignment="1">
      <alignment horizontal="right" vertical="center"/>
    </xf>
    <xf numFmtId="0" fontId="43" fillId="0" borderId="0" xfId="19" applyFont="1" applyAlignment="1">
      <alignment horizontal="left" vertical="top"/>
    </xf>
    <xf numFmtId="0" fontId="23" fillId="0" borderId="0" xfId="19" applyFont="1" applyAlignment="1">
      <alignment horizontal="left" vertical="top"/>
    </xf>
    <xf numFmtId="0" fontId="20" fillId="0" borderId="21" xfId="0" applyFont="1" applyBorder="1" applyAlignment="1">
      <alignment horizontal="left" vertical="center" wrapText="1"/>
    </xf>
    <xf numFmtId="0" fontId="19" fillId="12" borderId="17" xfId="0" applyFont="1" applyFill="1" applyBorder="1" applyAlignment="1">
      <alignment horizontal="left" vertical="center" wrapText="1"/>
    </xf>
    <xf numFmtId="0" fontId="29" fillId="8" borderId="21" xfId="0" applyFont="1" applyFill="1" applyBorder="1" applyAlignment="1">
      <alignment horizontal="left" vertical="center" wrapText="1"/>
    </xf>
    <xf numFmtId="0" fontId="29" fillId="8" borderId="16" xfId="0" applyFont="1" applyFill="1" applyBorder="1" applyAlignment="1">
      <alignment horizontal="left" vertical="center" wrapText="1"/>
    </xf>
    <xf numFmtId="0" fontId="20" fillId="0" borderId="21" xfId="0" applyFont="1" applyBorder="1" applyAlignment="1">
      <alignment vertical="center" wrapText="1"/>
    </xf>
    <xf numFmtId="0" fontId="64" fillId="0" borderId="17" xfId="0" applyFont="1" applyBorder="1" applyAlignment="1">
      <alignment horizontal="left" vertical="center" indent="2"/>
    </xf>
    <xf numFmtId="0" fontId="62" fillId="0" borderId="17" xfId="24" applyBorder="1" applyAlignment="1">
      <alignment horizontal="left" vertical="center" indent="2"/>
    </xf>
    <xf numFmtId="49" fontId="63" fillId="0" borderId="17" xfId="0" applyNumberFormat="1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/>
    </xf>
    <xf numFmtId="0" fontId="20" fillId="9" borderId="17" xfId="0" quotePrefix="1" applyFont="1" applyFill="1" applyBorder="1" applyAlignment="1">
      <alignment horizontal="left" vertical="center" wrapText="1"/>
    </xf>
    <xf numFmtId="0" fontId="20" fillId="9" borderId="17" xfId="0" applyFont="1" applyFill="1" applyBorder="1" applyAlignment="1">
      <alignment horizontal="left" vertical="center" wrapText="1"/>
    </xf>
    <xf numFmtId="0" fontId="20" fillId="9" borderId="35" xfId="0" quotePrefix="1" applyFont="1" applyFill="1" applyBorder="1" applyAlignment="1">
      <alignment horizontal="left" vertical="center" wrapText="1"/>
    </xf>
    <xf numFmtId="0" fontId="20" fillId="9" borderId="35" xfId="0" applyFont="1" applyFill="1" applyBorder="1" applyAlignment="1">
      <alignment horizontal="left" vertical="center" wrapText="1"/>
    </xf>
    <xf numFmtId="0" fontId="20" fillId="9" borderId="21" xfId="0" quotePrefix="1" applyFont="1" applyFill="1" applyBorder="1" applyAlignment="1">
      <alignment horizontal="left" vertical="center" wrapText="1"/>
    </xf>
    <xf numFmtId="0" fontId="101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43" fontId="58" fillId="16" borderId="44" xfId="23" applyFont="1" applyFill="1" applyBorder="1" applyAlignment="1">
      <alignment horizontal="left" vertical="center" wrapText="1" indent="2"/>
    </xf>
    <xf numFmtId="43" fontId="58" fillId="16" borderId="45" xfId="23" applyFont="1" applyFill="1" applyBorder="1" applyAlignment="1">
      <alignment horizontal="left" vertical="center" wrapText="1" indent="2"/>
    </xf>
    <xf numFmtId="43" fontId="58" fillId="16" borderId="46" xfId="23" applyFont="1" applyFill="1" applyBorder="1" applyAlignment="1">
      <alignment horizontal="left" vertical="center" wrapText="1" indent="2"/>
    </xf>
    <xf numFmtId="43" fontId="5" fillId="0" borderId="48" xfId="23" applyFont="1" applyFill="1" applyBorder="1" applyAlignment="1">
      <alignment horizontal="left" vertical="center" wrapText="1" indent="2"/>
    </xf>
    <xf numFmtId="43" fontId="5" fillId="0" borderId="49" xfId="23" applyFont="1" applyFill="1" applyBorder="1" applyAlignment="1">
      <alignment horizontal="left" vertical="center" wrapText="1" indent="2"/>
    </xf>
    <xf numFmtId="43" fontId="5" fillId="0" borderId="50" xfId="23" applyFont="1" applyFill="1" applyBorder="1" applyAlignment="1">
      <alignment horizontal="left" vertical="center" wrapText="1" indent="2"/>
    </xf>
    <xf numFmtId="43" fontId="5" fillId="0" borderId="41" xfId="23" applyFont="1" applyFill="1" applyBorder="1" applyAlignment="1">
      <alignment horizontal="left" vertical="center" wrapText="1" indent="2"/>
    </xf>
    <xf numFmtId="43" fontId="5" fillId="0" borderId="42" xfId="23" applyFont="1" applyFill="1" applyBorder="1" applyAlignment="1">
      <alignment horizontal="left" vertical="center" wrapText="1" indent="2"/>
    </xf>
    <xf numFmtId="43" fontId="5" fillId="0" borderId="43" xfId="23" applyFont="1" applyFill="1" applyBorder="1" applyAlignment="1">
      <alignment horizontal="left" vertical="center" wrapText="1" indent="2"/>
    </xf>
    <xf numFmtId="43" fontId="58" fillId="16" borderId="51" xfId="23" applyFont="1" applyFill="1" applyBorder="1" applyAlignment="1">
      <alignment horizontal="left" vertical="center" wrapText="1" indent="2"/>
    </xf>
    <xf numFmtId="43" fontId="58" fillId="16" borderId="52" xfId="23" applyFont="1" applyFill="1" applyBorder="1" applyAlignment="1">
      <alignment horizontal="left" vertical="center" wrapText="1" indent="2"/>
    </xf>
    <xf numFmtId="43" fontId="58" fillId="16" borderId="47" xfId="23" applyFont="1" applyFill="1" applyBorder="1" applyAlignment="1">
      <alignment horizontal="left" vertical="center" wrapText="1" indent="2"/>
    </xf>
    <xf numFmtId="0" fontId="20" fillId="59" borderId="96" xfId="0" applyFont="1" applyFill="1" applyBorder="1" applyAlignment="1">
      <alignment vertical="center" wrapText="1"/>
    </xf>
    <xf numFmtId="0" fontId="19" fillId="59" borderId="96" xfId="0" applyFont="1" applyFill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12" borderId="84" xfId="0" applyFont="1" applyFill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9" fillId="8" borderId="19" xfId="0" applyFont="1" applyFill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52" fillId="13" borderId="21" xfId="0" applyFont="1" applyFill="1" applyBorder="1" applyAlignment="1">
      <alignment horizontal="left" vertical="center" wrapText="1"/>
    </xf>
    <xf numFmtId="0" fontId="52" fillId="13" borderId="16" xfId="0" applyFont="1" applyFill="1" applyBorder="1" applyAlignment="1">
      <alignment horizontal="left" vertical="center" wrapText="1"/>
    </xf>
    <xf numFmtId="0" fontId="52" fillId="13" borderId="22" xfId="0" applyFont="1" applyFill="1" applyBorder="1" applyAlignment="1">
      <alignment horizontal="left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/>
    </xf>
    <xf numFmtId="15" fontId="20" fillId="0" borderId="23" xfId="0" applyNumberFormat="1" applyFont="1" applyBorder="1" applyAlignment="1">
      <alignment horizontal="left" vertical="center" wrapText="1"/>
    </xf>
    <xf numFmtId="0" fontId="20" fillId="0" borderId="11" xfId="0" quotePrefix="1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49" fontId="20" fillId="0" borderId="4" xfId="0" quotePrefix="1" applyNumberFormat="1" applyFont="1" applyBorder="1" applyAlignment="1">
      <alignment horizontal="left" vertical="center"/>
    </xf>
    <xf numFmtId="15" fontId="20" fillId="0" borderId="23" xfId="0" applyNumberFormat="1" applyFont="1" applyBorder="1" applyAlignment="1">
      <alignment horizontal="left" vertical="center"/>
    </xf>
    <xf numFmtId="0" fontId="27" fillId="8" borderId="17" xfId="14" applyFont="1" applyFill="1" applyBorder="1" applyAlignment="1">
      <alignment horizontal="center" wrapText="1"/>
    </xf>
    <xf numFmtId="0" fontId="26" fillId="8" borderId="17" xfId="0" applyFont="1" applyFill="1" applyBorder="1" applyAlignment="1">
      <alignment horizontal="center" vertical="center" wrapText="1"/>
    </xf>
    <xf numFmtId="0" fontId="31" fillId="8" borderId="17" xfId="14" applyFont="1" applyFill="1" applyBorder="1" applyAlignment="1">
      <alignment horizontal="center"/>
    </xf>
    <xf numFmtId="0" fontId="19" fillId="12" borderId="21" xfId="0" applyFont="1" applyFill="1" applyBorder="1" applyAlignment="1">
      <alignment vertical="center" wrapText="1"/>
    </xf>
    <xf numFmtId="0" fontId="20" fillId="37" borderId="17" xfId="0" applyFont="1" applyFill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55" fillId="0" borderId="0" xfId="0" applyFont="1" applyAlignment="1">
      <alignment horizontal="left" vertical="center" wrapText="1"/>
    </xf>
    <xf numFmtId="0" fontId="56" fillId="15" borderId="37" xfId="0" applyFont="1" applyFill="1" applyBorder="1" applyAlignment="1">
      <alignment horizontal="center" vertical="center"/>
    </xf>
    <xf numFmtId="0" fontId="56" fillId="15" borderId="38" xfId="0" applyFont="1" applyFill="1" applyBorder="1" applyAlignment="1">
      <alignment horizontal="center" vertical="center"/>
    </xf>
    <xf numFmtId="0" fontId="56" fillId="15" borderId="37" xfId="0" applyFont="1" applyFill="1" applyBorder="1" applyAlignment="1">
      <alignment horizontal="left" vertical="center" wrapText="1"/>
    </xf>
    <xf numFmtId="0" fontId="56" fillId="15" borderId="38" xfId="0" applyFont="1" applyFill="1" applyBorder="1" applyAlignment="1">
      <alignment horizontal="left" vertical="center" wrapText="1"/>
    </xf>
    <xf numFmtId="0" fontId="56" fillId="15" borderId="37" xfId="0" applyFont="1" applyFill="1" applyBorder="1" applyAlignment="1">
      <alignment horizontal="left" vertical="top" wrapText="1"/>
    </xf>
    <xf numFmtId="0" fontId="56" fillId="15" borderId="38" xfId="0" applyFont="1" applyFill="1" applyBorder="1" applyAlignment="1">
      <alignment horizontal="left" vertical="top" wrapText="1"/>
    </xf>
    <xf numFmtId="0" fontId="56" fillId="15" borderId="37" xfId="0" applyFont="1" applyFill="1" applyBorder="1" applyAlignment="1">
      <alignment horizontal="center" vertical="center" wrapText="1"/>
    </xf>
    <xf numFmtId="0" fontId="56" fillId="15" borderId="38" xfId="0" applyFont="1" applyFill="1" applyBorder="1" applyAlignment="1">
      <alignment horizontal="center" vertical="center" wrapText="1"/>
    </xf>
    <xf numFmtId="0" fontId="56" fillId="15" borderId="37" xfId="0" applyFont="1" applyFill="1" applyBorder="1" applyAlignment="1">
      <alignment horizontal="left" vertical="center"/>
    </xf>
    <xf numFmtId="0" fontId="56" fillId="15" borderId="38" xfId="0" applyFont="1" applyFill="1" applyBorder="1" applyAlignment="1">
      <alignment horizontal="left" vertical="center"/>
    </xf>
    <xf numFmtId="0" fontId="56" fillId="15" borderId="37" xfId="0" applyFont="1" applyFill="1" applyBorder="1" applyAlignment="1">
      <alignment horizontal="right" vertical="center"/>
    </xf>
    <xf numFmtId="0" fontId="56" fillId="15" borderId="38" xfId="0" applyFont="1" applyFill="1" applyBorder="1" applyAlignment="1">
      <alignment horizontal="right" vertical="center"/>
    </xf>
    <xf numFmtId="4" fontId="92" fillId="34" borderId="38" xfId="34" applyNumberFormat="1" applyFont="1" applyFill="1" applyBorder="1" applyAlignment="1">
      <alignment horizontal="center" vertical="center" wrapText="1"/>
    </xf>
    <xf numFmtId="4" fontId="92" fillId="34" borderId="43" xfId="34" applyNumberFormat="1" applyFont="1" applyFill="1" applyBorder="1" applyAlignment="1">
      <alignment horizontal="center" vertical="center" wrapText="1"/>
    </xf>
    <xf numFmtId="0" fontId="98" fillId="32" borderId="51" xfId="34" applyFont="1" applyFill="1" applyBorder="1" applyAlignment="1">
      <alignment horizontal="center"/>
    </xf>
    <xf numFmtId="0" fontId="98" fillId="32" borderId="52" xfId="34" applyFont="1" applyFill="1" applyBorder="1" applyAlignment="1">
      <alignment horizontal="center"/>
    </xf>
    <xf numFmtId="0" fontId="98" fillId="32" borderId="47" xfId="34" applyFont="1" applyFill="1" applyBorder="1" applyAlignment="1">
      <alignment horizontal="center"/>
    </xf>
    <xf numFmtId="0" fontId="90" fillId="32" borderId="51" xfId="34" applyFont="1" applyFill="1" applyBorder="1" applyAlignment="1">
      <alignment horizontal="center"/>
    </xf>
    <xf numFmtId="0" fontId="90" fillId="32" borderId="52" xfId="34" applyFont="1" applyFill="1" applyBorder="1" applyAlignment="1">
      <alignment horizontal="center"/>
    </xf>
    <xf numFmtId="0" fontId="90" fillId="32" borderId="47" xfId="34" applyFont="1" applyFill="1" applyBorder="1" applyAlignment="1">
      <alignment horizontal="center"/>
    </xf>
    <xf numFmtId="0" fontId="91" fillId="0" borderId="0" xfId="35" applyFont="1" applyAlignment="1">
      <alignment horizontal="center" vertical="center" wrapText="1"/>
    </xf>
    <xf numFmtId="0" fontId="92" fillId="34" borderId="36" xfId="34" applyFont="1" applyFill="1" applyBorder="1" applyAlignment="1">
      <alignment horizontal="center" vertical="center" wrapText="1"/>
    </xf>
    <xf numFmtId="0" fontId="92" fillId="34" borderId="38" xfId="34" applyFont="1" applyFill="1" applyBorder="1" applyAlignment="1">
      <alignment horizontal="center" vertical="center" wrapText="1"/>
    </xf>
    <xf numFmtId="0" fontId="92" fillId="34" borderId="41" xfId="34" applyFont="1" applyFill="1" applyBorder="1" applyAlignment="1">
      <alignment horizontal="center" vertical="center" wrapText="1"/>
    </xf>
    <xf numFmtId="0" fontId="92" fillId="34" borderId="43" xfId="34" applyFont="1" applyFill="1" applyBorder="1" applyAlignment="1">
      <alignment horizontal="center" vertical="center" wrapText="1"/>
    </xf>
    <xf numFmtId="4" fontId="92" fillId="34" borderId="36" xfId="34" applyNumberFormat="1" applyFont="1" applyFill="1" applyBorder="1" applyAlignment="1">
      <alignment horizontal="center" vertical="center" wrapText="1"/>
    </xf>
    <xf numFmtId="4" fontId="92" fillId="34" borderId="41" xfId="34" applyNumberFormat="1" applyFont="1" applyFill="1" applyBorder="1" applyAlignment="1">
      <alignment horizontal="center" vertical="center" wrapText="1"/>
    </xf>
    <xf numFmtId="4" fontId="92" fillId="34" borderId="37" xfId="34" applyNumberFormat="1" applyFont="1" applyFill="1" applyBorder="1" applyAlignment="1">
      <alignment horizontal="center" vertical="center" wrapText="1"/>
    </xf>
    <xf numFmtId="4" fontId="92" fillId="34" borderId="42" xfId="34" applyNumberFormat="1" applyFont="1" applyFill="1" applyBorder="1" applyAlignment="1">
      <alignment horizontal="center" vertical="center" wrapText="1"/>
    </xf>
    <xf numFmtId="0" fontId="67" fillId="13" borderId="36" xfId="25" applyFont="1" applyFill="1" applyBorder="1" applyAlignment="1">
      <alignment horizontal="center"/>
    </xf>
    <xf numFmtId="0" fontId="67" fillId="13" borderId="37" xfId="25" applyFont="1" applyFill="1" applyBorder="1" applyAlignment="1">
      <alignment horizontal="center"/>
    </xf>
    <xf numFmtId="0" fontId="67" fillId="13" borderId="38" xfId="25" applyFont="1" applyFill="1" applyBorder="1" applyAlignment="1">
      <alignment horizontal="center"/>
    </xf>
    <xf numFmtId="0" fontId="68" fillId="19" borderId="51" xfId="25" applyFont="1" applyFill="1" applyBorder="1" applyAlignment="1">
      <alignment horizontal="center"/>
    </xf>
    <xf numFmtId="0" fontId="68" fillId="19" borderId="52" xfId="25" applyFont="1" applyFill="1" applyBorder="1" applyAlignment="1">
      <alignment horizontal="center"/>
    </xf>
    <xf numFmtId="0" fontId="68" fillId="19" borderId="47" xfId="25" applyFont="1" applyFill="1" applyBorder="1" applyAlignment="1">
      <alignment horizontal="center"/>
    </xf>
    <xf numFmtId="0" fontId="66" fillId="9" borderId="39" xfId="25" applyFont="1" applyFill="1" applyBorder="1" applyAlignment="1">
      <alignment horizontal="center"/>
    </xf>
    <xf numFmtId="0" fontId="66" fillId="9" borderId="0" xfId="25" applyFont="1" applyFill="1" applyAlignment="1">
      <alignment horizontal="center"/>
    </xf>
    <xf numFmtId="0" fontId="66" fillId="9" borderId="40" xfId="25" applyFont="1" applyFill="1" applyBorder="1" applyAlignment="1">
      <alignment horizontal="center"/>
    </xf>
    <xf numFmtId="0" fontId="70" fillId="21" borderId="63" xfId="27" applyFont="1" applyFill="1" applyBorder="1" applyAlignment="1">
      <alignment horizontal="left" vertical="center"/>
    </xf>
    <xf numFmtId="0" fontId="70" fillId="21" borderId="64" xfId="27" applyFont="1" applyFill="1" applyBorder="1" applyAlignment="1">
      <alignment horizontal="left" vertical="center"/>
    </xf>
    <xf numFmtId="0" fontId="70" fillId="21" borderId="65" xfId="27" applyFont="1" applyFill="1" applyBorder="1" applyAlignment="1">
      <alignment horizontal="left" vertical="center"/>
    </xf>
    <xf numFmtId="0" fontId="7" fillId="22" borderId="18" xfId="27" applyFont="1" applyFill="1" applyBorder="1" applyAlignment="1">
      <alignment horizontal="left" vertical="center"/>
    </xf>
    <xf numFmtId="0" fontId="7" fillId="22" borderId="14" xfId="27" applyFont="1" applyFill="1" applyBorder="1" applyAlignment="1">
      <alignment horizontal="left" vertical="center"/>
    </xf>
    <xf numFmtId="0" fontId="75" fillId="0" borderId="68" xfId="27" applyFont="1" applyBorder="1" applyAlignment="1">
      <alignment horizontal="left" vertical="center" indent="4"/>
    </xf>
    <xf numFmtId="0" fontId="75" fillId="0" borderId="69" xfId="27" applyFont="1" applyBorder="1" applyAlignment="1">
      <alignment horizontal="left" vertical="center" indent="4"/>
    </xf>
    <xf numFmtId="0" fontId="75" fillId="21" borderId="51" xfId="27" applyFont="1" applyFill="1" applyBorder="1" applyAlignment="1">
      <alignment horizontal="left" vertical="center" indent="4"/>
    </xf>
    <xf numFmtId="0" fontId="75" fillId="21" borderId="52" xfId="27" applyFont="1" applyFill="1" applyBorder="1" applyAlignment="1">
      <alignment horizontal="left" vertical="center" indent="4"/>
    </xf>
    <xf numFmtId="0" fontId="67" fillId="13" borderId="36" xfId="0" applyFont="1" applyFill="1" applyBorder="1" applyAlignment="1">
      <alignment horizontal="center"/>
    </xf>
    <xf numFmtId="0" fontId="67" fillId="13" borderId="37" xfId="0" applyFont="1" applyFill="1" applyBorder="1" applyAlignment="1">
      <alignment horizontal="center"/>
    </xf>
    <xf numFmtId="0" fontId="67" fillId="13" borderId="38" xfId="0" applyFont="1" applyFill="1" applyBorder="1" applyAlignment="1">
      <alignment horizontal="center"/>
    </xf>
    <xf numFmtId="0" fontId="68" fillId="19" borderId="51" xfId="0" applyFont="1" applyFill="1" applyBorder="1" applyAlignment="1">
      <alignment horizontal="center"/>
    </xf>
    <xf numFmtId="0" fontId="68" fillId="19" borderId="52" xfId="0" applyFont="1" applyFill="1" applyBorder="1" applyAlignment="1">
      <alignment horizontal="center"/>
    </xf>
    <xf numFmtId="0" fontId="68" fillId="19" borderId="47" xfId="0" applyFont="1" applyFill="1" applyBorder="1" applyAlignment="1">
      <alignment horizontal="center"/>
    </xf>
    <xf numFmtId="0" fontId="66" fillId="9" borderId="39" xfId="0" applyFont="1" applyFill="1" applyBorder="1" applyAlignment="1">
      <alignment horizontal="center"/>
    </xf>
    <xf numFmtId="0" fontId="66" fillId="9" borderId="0" xfId="0" applyFont="1" applyFill="1" applyAlignment="1">
      <alignment horizontal="center"/>
    </xf>
    <xf numFmtId="0" fontId="66" fillId="9" borderId="40" xfId="0" applyFont="1" applyFill="1" applyBorder="1" applyAlignment="1">
      <alignment horizontal="center"/>
    </xf>
    <xf numFmtId="0" fontId="70" fillId="21" borderId="77" xfId="27" applyFont="1" applyFill="1" applyBorder="1" applyAlignment="1">
      <alignment horizontal="left" vertical="center"/>
    </xf>
    <xf numFmtId="0" fontId="70" fillId="21" borderId="78" xfId="27" applyFont="1" applyFill="1" applyBorder="1" applyAlignment="1">
      <alignment horizontal="left" vertical="center"/>
    </xf>
    <xf numFmtId="0" fontId="70" fillId="21" borderId="79" xfId="27" applyFont="1" applyFill="1" applyBorder="1" applyAlignment="1">
      <alignment horizontal="left" vertical="center"/>
    </xf>
    <xf numFmtId="0" fontId="84" fillId="28" borderId="59" xfId="27" applyFont="1" applyFill="1" applyBorder="1" applyAlignment="1">
      <alignment horizontal="left" vertical="center" indent="4"/>
    </xf>
    <xf numFmtId="0" fontId="84" fillId="28" borderId="16" xfId="27" applyFont="1" applyFill="1" applyBorder="1" applyAlignment="1">
      <alignment horizontal="left" vertical="center" indent="4"/>
    </xf>
    <xf numFmtId="0" fontId="84" fillId="28" borderId="68" xfId="27" applyFont="1" applyFill="1" applyBorder="1" applyAlignment="1">
      <alignment horizontal="left" vertical="center" indent="4"/>
    </xf>
    <xf numFmtId="0" fontId="84" fillId="28" borderId="69" xfId="27" applyFont="1" applyFill="1" applyBorder="1" applyAlignment="1">
      <alignment horizontal="left" vertical="center" indent="4"/>
    </xf>
    <xf numFmtId="0" fontId="75" fillId="28" borderId="51" xfId="27" applyFont="1" applyFill="1" applyBorder="1" applyAlignment="1">
      <alignment horizontal="left" vertical="center" indent="4"/>
    </xf>
    <xf numFmtId="0" fontId="75" fillId="28" borderId="52" xfId="27" applyFont="1" applyFill="1" applyBorder="1" applyAlignment="1">
      <alignment horizontal="left" vertical="center" indent="4"/>
    </xf>
    <xf numFmtId="0" fontId="70" fillId="21" borderId="36" xfId="27" applyFont="1" applyFill="1" applyBorder="1" applyAlignment="1">
      <alignment horizontal="left" vertical="center"/>
    </xf>
    <xf numFmtId="0" fontId="70" fillId="21" borderId="37" xfId="27" applyFont="1" applyFill="1" applyBorder="1" applyAlignment="1">
      <alignment horizontal="left" vertical="center"/>
    </xf>
    <xf numFmtId="0" fontId="70" fillId="21" borderId="38" xfId="27" applyFont="1" applyFill="1" applyBorder="1" applyAlignment="1">
      <alignment horizontal="left" vertical="center"/>
    </xf>
    <xf numFmtId="0" fontId="75" fillId="0" borderId="41" xfId="27" applyFont="1" applyBorder="1" applyAlignment="1">
      <alignment horizontal="left" vertical="center" indent="4"/>
    </xf>
    <xf numFmtId="0" fontId="75" fillId="0" borderId="42" xfId="27" applyFont="1" applyBorder="1" applyAlignment="1">
      <alignment horizontal="left" vertical="center" indent="4"/>
    </xf>
    <xf numFmtId="0" fontId="75" fillId="30" borderId="51" xfId="27" applyFont="1" applyFill="1" applyBorder="1" applyAlignment="1">
      <alignment horizontal="left" vertical="center" indent="4"/>
    </xf>
    <xf numFmtId="0" fontId="75" fillId="30" borderId="52" xfId="27" applyFont="1" applyFill="1" applyBorder="1" applyAlignment="1">
      <alignment horizontal="left" vertical="center" indent="4"/>
    </xf>
    <xf numFmtId="0" fontId="70" fillId="0" borderId="0" xfId="27" applyFont="1" applyAlignment="1">
      <alignment horizontal="left" vertical="center"/>
    </xf>
    <xf numFmtId="0" fontId="84" fillId="0" borderId="0" xfId="27" applyFont="1" applyAlignment="1">
      <alignment horizontal="left" vertical="center" indent="4"/>
    </xf>
    <xf numFmtId="0" fontId="75" fillId="0" borderId="0" xfId="27" applyFont="1" applyAlignment="1">
      <alignment horizontal="left" vertical="center" indent="4"/>
    </xf>
    <xf numFmtId="0" fontId="24" fillId="0" borderId="21" xfId="0" applyFont="1" applyBorder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24" fillId="0" borderId="22" xfId="0" applyFont="1" applyBorder="1" applyAlignment="1">
      <alignment horizontal="left" vertical="top"/>
    </xf>
    <xf numFmtId="0" fontId="18" fillId="0" borderId="21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14" fontId="24" fillId="0" borderId="17" xfId="0" applyNumberFormat="1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9" fillId="8" borderId="16" xfId="0" applyFont="1" applyFill="1" applyBorder="1" applyAlignment="1">
      <alignment horizontal="center"/>
    </xf>
    <xf numFmtId="0" fontId="29" fillId="8" borderId="22" xfId="0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29" fillId="8" borderId="32" xfId="0" applyFont="1" applyFill="1" applyBorder="1" applyAlignment="1">
      <alignment horizontal="center"/>
    </xf>
    <xf numFmtId="0" fontId="29" fillId="8" borderId="33" xfId="0" applyFont="1" applyFill="1" applyBorder="1" applyAlignment="1">
      <alignment horizontal="center"/>
    </xf>
    <xf numFmtId="0" fontId="29" fillId="8" borderId="17" xfId="0" applyFont="1" applyFill="1" applyBorder="1" applyAlignment="1">
      <alignment horizontal="center"/>
    </xf>
    <xf numFmtId="0" fontId="29" fillId="8" borderId="3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14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 wrapText="1"/>
    </xf>
    <xf numFmtId="0" fontId="23" fillId="0" borderId="0" xfId="14" applyFont="1" applyAlignment="1">
      <alignment horizontal="center" vertical="center" wrapText="1"/>
    </xf>
    <xf numFmtId="0" fontId="26" fillId="8" borderId="28" xfId="0" applyFont="1" applyFill="1" applyBorder="1" applyAlignment="1">
      <alignment horizontal="center"/>
    </xf>
    <xf numFmtId="0" fontId="26" fillId="8" borderId="11" xfId="0" applyFont="1" applyFill="1" applyBorder="1" applyAlignment="1">
      <alignment horizontal="center"/>
    </xf>
    <xf numFmtId="0" fontId="26" fillId="8" borderId="26" xfId="0" applyFont="1" applyFill="1" applyBorder="1" applyAlignment="1">
      <alignment horizontal="center"/>
    </xf>
    <xf numFmtId="0" fontId="25" fillId="8" borderId="11" xfId="0" applyFont="1" applyFill="1" applyBorder="1" applyAlignment="1">
      <alignment horizontal="center"/>
    </xf>
    <xf numFmtId="0" fontId="25" fillId="8" borderId="20" xfId="0" applyFont="1" applyFill="1" applyBorder="1" applyAlignment="1">
      <alignment horizontal="center"/>
    </xf>
    <xf numFmtId="0" fontId="26" fillId="8" borderId="29" xfId="0" applyFont="1" applyFill="1" applyBorder="1" applyAlignment="1">
      <alignment horizontal="center"/>
    </xf>
    <xf numFmtId="0" fontId="26" fillId="8" borderId="0" xfId="0" applyFont="1" applyFill="1" applyAlignment="1">
      <alignment horizontal="center"/>
    </xf>
    <xf numFmtId="0" fontId="26" fillId="8" borderId="25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27" fillId="8" borderId="14" xfId="0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/>
    </xf>
    <xf numFmtId="0" fontId="27" fillId="8" borderId="25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horizontal="center" vertical="center"/>
    </xf>
    <xf numFmtId="0" fontId="27" fillId="8" borderId="13" xfId="0" applyFont="1" applyFill="1" applyBorder="1" applyAlignment="1">
      <alignment horizontal="center" vertical="center"/>
    </xf>
    <xf numFmtId="0" fontId="27" fillId="8" borderId="27" xfId="0" applyFont="1" applyFill="1" applyBorder="1" applyAlignment="1">
      <alignment horizontal="center" vertical="center"/>
    </xf>
    <xf numFmtId="0" fontId="29" fillId="8" borderId="29" xfId="0" applyFont="1" applyFill="1" applyBorder="1" applyAlignment="1">
      <alignment horizontal="center"/>
    </xf>
    <xf numFmtId="0" fontId="29" fillId="8" borderId="0" xfId="0" applyFont="1" applyFill="1" applyAlignment="1">
      <alignment horizontal="center"/>
    </xf>
    <xf numFmtId="0" fontId="29" fillId="8" borderId="25" xfId="0" applyFont="1" applyFill="1" applyBorder="1" applyAlignment="1">
      <alignment horizontal="center"/>
    </xf>
    <xf numFmtId="0" fontId="29" fillId="8" borderId="30" xfId="0" applyFont="1" applyFill="1" applyBorder="1" applyAlignment="1">
      <alignment horizontal="center"/>
    </xf>
    <xf numFmtId="0" fontId="29" fillId="8" borderId="13" xfId="0" applyFont="1" applyFill="1" applyBorder="1" applyAlignment="1">
      <alignment horizontal="center"/>
    </xf>
    <xf numFmtId="0" fontId="29" fillId="8" borderId="27" xfId="0" applyFont="1" applyFill="1" applyBorder="1" applyAlignment="1">
      <alignment horizontal="center"/>
    </xf>
    <xf numFmtId="0" fontId="25" fillId="8" borderId="13" xfId="0" applyFont="1" applyFill="1" applyBorder="1" applyAlignment="1">
      <alignment horizontal="center"/>
    </xf>
    <xf numFmtId="0" fontId="25" fillId="8" borderId="15" xfId="0" applyFont="1" applyFill="1" applyBorder="1" applyAlignment="1">
      <alignment horizontal="center"/>
    </xf>
    <xf numFmtId="0" fontId="146" fillId="23" borderId="39" xfId="37" applyFont="1" applyFill="1" applyBorder="1" applyAlignment="1">
      <alignment horizontal="right"/>
    </xf>
    <xf numFmtId="0" fontId="146" fillId="23" borderId="0" xfId="37" applyFont="1" applyFill="1" applyAlignment="1">
      <alignment horizontal="right"/>
    </xf>
    <xf numFmtId="0" fontId="1" fillId="23" borderId="75" xfId="37" applyFill="1" applyBorder="1" applyAlignment="1">
      <alignment horizontal="center"/>
    </xf>
    <xf numFmtId="0" fontId="1" fillId="23" borderId="66" xfId="37" applyFill="1" applyBorder="1" applyAlignment="1">
      <alignment horizontal="center"/>
    </xf>
    <xf numFmtId="0" fontId="1" fillId="23" borderId="82" xfId="37" applyFill="1" applyBorder="1" applyAlignment="1">
      <alignment horizontal="center"/>
    </xf>
    <xf numFmtId="0" fontId="143" fillId="23" borderId="105" xfId="37" applyFont="1" applyFill="1" applyBorder="1" applyAlignment="1">
      <alignment horizontal="center" vertical="center"/>
    </xf>
    <xf numFmtId="0" fontId="143" fillId="23" borderId="37" xfId="37" applyFont="1" applyFill="1" applyBorder="1" applyAlignment="1">
      <alignment horizontal="center" vertical="center"/>
    </xf>
    <xf numFmtId="0" fontId="143" fillId="23" borderId="106" xfId="37" applyFont="1" applyFill="1" applyBorder="1" applyAlignment="1">
      <alignment horizontal="center" vertical="center"/>
    </xf>
    <xf numFmtId="0" fontId="143" fillId="23" borderId="12" xfId="37" applyFont="1" applyFill="1" applyBorder="1" applyAlignment="1">
      <alignment horizontal="center" vertical="center"/>
    </xf>
    <xf numFmtId="0" fontId="143" fillId="23" borderId="13" xfId="37" applyFont="1" applyFill="1" applyBorder="1" applyAlignment="1">
      <alignment horizontal="center" vertical="center"/>
    </xf>
    <xf numFmtId="0" fontId="143" fillId="23" borderId="15" xfId="37" applyFont="1" applyFill="1" applyBorder="1" applyAlignment="1">
      <alignment horizontal="center" vertical="center"/>
    </xf>
    <xf numFmtId="0" fontId="1" fillId="23" borderId="107" xfId="37" applyFill="1" applyBorder="1" applyAlignment="1">
      <alignment horizontal="center" vertical="center"/>
    </xf>
    <xf numFmtId="0" fontId="1" fillId="23" borderId="109" xfId="37" applyFill="1" applyBorder="1" applyAlignment="1">
      <alignment horizontal="center" vertical="center"/>
    </xf>
    <xf numFmtId="0" fontId="1" fillId="23" borderId="110" xfId="37" applyFill="1" applyBorder="1" applyAlignment="1">
      <alignment horizontal="center" vertical="center"/>
    </xf>
    <xf numFmtId="0" fontId="66" fillId="23" borderId="19" xfId="37" applyFont="1" applyFill="1" applyBorder="1" applyAlignment="1">
      <alignment horizontal="center" vertical="center"/>
    </xf>
    <xf numFmtId="0" fontId="66" fillId="23" borderId="11" xfId="37" applyFont="1" applyFill="1" applyBorder="1" applyAlignment="1">
      <alignment horizontal="center" vertical="center"/>
    </xf>
    <xf numFmtId="0" fontId="66" fillId="23" borderId="20" xfId="37" applyFont="1" applyFill="1" applyBorder="1" applyAlignment="1">
      <alignment horizontal="center" vertical="center"/>
    </xf>
    <xf numFmtId="0" fontId="66" fillId="23" borderId="12" xfId="37" applyFont="1" applyFill="1" applyBorder="1" applyAlignment="1">
      <alignment horizontal="center" vertical="center"/>
    </xf>
    <xf numFmtId="0" fontId="66" fillId="23" borderId="13" xfId="37" applyFont="1" applyFill="1" applyBorder="1" applyAlignment="1">
      <alignment horizontal="center" vertical="center"/>
    </xf>
    <xf numFmtId="0" fontId="66" fillId="23" borderId="15" xfId="37" applyFont="1" applyFill="1" applyBorder="1" applyAlignment="1">
      <alignment horizontal="center" vertical="center"/>
    </xf>
    <xf numFmtId="0" fontId="143" fillId="23" borderId="0" xfId="37" applyFont="1" applyFill="1" applyAlignment="1">
      <alignment horizontal="center" vertical="center"/>
    </xf>
    <xf numFmtId="0" fontId="150" fillId="0" borderId="17" xfId="38" applyFont="1" applyBorder="1" applyAlignment="1">
      <alignment horizontal="center" vertical="center"/>
    </xf>
    <xf numFmtId="0" fontId="151" fillId="0" borderId="17" xfId="38" applyFont="1" applyBorder="1" applyAlignment="1">
      <alignment horizontal="center" vertical="center"/>
    </xf>
    <xf numFmtId="0" fontId="3" fillId="23" borderId="0" xfId="41" applyFont="1" applyFill="1" applyAlignment="1">
      <alignment horizontal="center"/>
    </xf>
    <xf numFmtId="0" fontId="156" fillId="23" borderId="75" xfId="41" applyFont="1" applyFill="1" applyBorder="1" applyAlignment="1">
      <alignment horizontal="center" vertical="center"/>
    </xf>
    <xf numFmtId="0" fontId="156" fillId="23" borderId="113" xfId="41" applyFont="1" applyFill="1" applyBorder="1" applyAlignment="1">
      <alignment horizontal="center" vertical="center"/>
    </xf>
    <xf numFmtId="0" fontId="157" fillId="23" borderId="113" xfId="41" applyFont="1" applyFill="1" applyBorder="1" applyAlignment="1">
      <alignment horizontal="center" vertical="center"/>
    </xf>
    <xf numFmtId="0" fontId="157" fillId="23" borderId="107" xfId="41" applyFont="1" applyFill="1" applyBorder="1" applyAlignment="1">
      <alignment horizontal="center" vertical="center"/>
    </xf>
    <xf numFmtId="0" fontId="158" fillId="23" borderId="37" xfId="41" applyFont="1" applyFill="1" applyBorder="1" applyAlignment="1">
      <alignment horizontal="center" vertical="center" wrapText="1"/>
    </xf>
    <xf numFmtId="0" fontId="157" fillId="23" borderId="51" xfId="41" applyFont="1" applyFill="1" applyBorder="1" applyAlignment="1">
      <alignment horizontal="center" vertical="center" wrapText="1"/>
    </xf>
    <xf numFmtId="0" fontId="157" fillId="23" borderId="52" xfId="41" applyFont="1" applyFill="1" applyBorder="1" applyAlignment="1">
      <alignment horizontal="center" vertical="center" wrapText="1"/>
    </xf>
    <xf numFmtId="10" fontId="156" fillId="23" borderId="44" xfId="41" applyNumberFormat="1" applyFont="1" applyFill="1" applyBorder="1" applyAlignment="1">
      <alignment horizontal="center" vertical="center"/>
    </xf>
    <xf numFmtId="10" fontId="156" fillId="23" borderId="45" xfId="41" applyNumberFormat="1" applyFont="1" applyFill="1" applyBorder="1" applyAlignment="1">
      <alignment horizontal="center" vertical="center"/>
    </xf>
    <xf numFmtId="10" fontId="156" fillId="23" borderId="51" xfId="41" applyNumberFormat="1" applyFont="1" applyFill="1" applyBorder="1" applyAlignment="1">
      <alignment horizontal="center" vertical="center"/>
    </xf>
    <xf numFmtId="10" fontId="156" fillId="23" borderId="47" xfId="41" applyNumberFormat="1" applyFont="1" applyFill="1" applyBorder="1" applyAlignment="1">
      <alignment horizontal="center" vertical="center"/>
    </xf>
    <xf numFmtId="0" fontId="158" fillId="23" borderId="51" xfId="41" applyFont="1" applyFill="1" applyBorder="1" applyAlignment="1">
      <alignment horizontal="center" vertical="center" wrapText="1"/>
    </xf>
    <xf numFmtId="0" fontId="158" fillId="23" borderId="52" xfId="41" applyFont="1" applyFill="1" applyBorder="1" applyAlignment="1">
      <alignment horizontal="center" vertical="center" wrapText="1"/>
    </xf>
    <xf numFmtId="169" fontId="158" fillId="23" borderId="44" xfId="41" applyNumberFormat="1" applyFont="1" applyFill="1" applyBorder="1" applyAlignment="1">
      <alignment horizontal="center" vertical="center"/>
    </xf>
    <xf numFmtId="169" fontId="158" fillId="23" borderId="45" xfId="41" applyNumberFormat="1" applyFont="1" applyFill="1" applyBorder="1" applyAlignment="1">
      <alignment horizontal="center" vertical="center"/>
    </xf>
    <xf numFmtId="10" fontId="159" fillId="23" borderId="45" xfId="41" applyNumberFormat="1" applyFont="1" applyFill="1" applyBorder="1" applyAlignment="1">
      <alignment horizontal="center" vertical="center"/>
    </xf>
    <xf numFmtId="10" fontId="159" fillId="23" borderId="46" xfId="41" applyNumberFormat="1" applyFont="1" applyFill="1" applyBorder="1" applyAlignment="1">
      <alignment horizontal="center" vertical="center"/>
    </xf>
    <xf numFmtId="10" fontId="158" fillId="23" borderId="44" xfId="41" applyNumberFormat="1" applyFont="1" applyFill="1" applyBorder="1" applyAlignment="1">
      <alignment horizontal="center" vertical="center"/>
    </xf>
    <xf numFmtId="10" fontId="158" fillId="23" borderId="45" xfId="41" applyNumberFormat="1" applyFont="1" applyFill="1" applyBorder="1" applyAlignment="1">
      <alignment horizontal="center" vertical="center"/>
    </xf>
    <xf numFmtId="10" fontId="159" fillId="23" borderId="45" xfId="43" applyNumberFormat="1" applyFont="1" applyFill="1" applyBorder="1" applyAlignment="1">
      <alignment horizontal="center" vertical="center"/>
    </xf>
    <xf numFmtId="10" fontId="159" fillId="23" borderId="46" xfId="43" applyNumberFormat="1" applyFont="1" applyFill="1" applyBorder="1" applyAlignment="1">
      <alignment horizontal="center" vertical="center"/>
    </xf>
    <xf numFmtId="4" fontId="156" fillId="23" borderId="44" xfId="41" applyNumberFormat="1" applyFont="1" applyFill="1" applyBorder="1" applyAlignment="1">
      <alignment horizontal="center" vertical="center"/>
    </xf>
    <xf numFmtId="4" fontId="156" fillId="23" borderId="45" xfId="41" applyNumberFormat="1" applyFont="1" applyFill="1" applyBorder="1" applyAlignment="1">
      <alignment horizontal="center" vertical="center"/>
    </xf>
    <xf numFmtId="0" fontId="155" fillId="0" borderId="36" xfId="41" applyFont="1" applyBorder="1" applyAlignment="1">
      <alignment horizontal="center" vertical="center"/>
    </xf>
    <xf numFmtId="0" fontId="155" fillId="0" borderId="37" xfId="41" applyFont="1" applyBorder="1" applyAlignment="1">
      <alignment horizontal="center" vertical="center"/>
    </xf>
    <xf numFmtId="0" fontId="155" fillId="0" borderId="38" xfId="41" applyFont="1" applyBorder="1" applyAlignment="1">
      <alignment horizontal="center" vertical="center"/>
    </xf>
    <xf numFmtId="0" fontId="155" fillId="0" borderId="57" xfId="41" applyFont="1" applyBorder="1" applyAlignment="1">
      <alignment horizontal="center" vertical="center"/>
    </xf>
    <xf numFmtId="0" fontId="155" fillId="0" borderId="13" xfId="41" applyFont="1" applyBorder="1" applyAlignment="1">
      <alignment horizontal="center" vertical="center"/>
    </xf>
    <xf numFmtId="0" fontId="155" fillId="0" borderId="58" xfId="41" applyFont="1" applyBorder="1" applyAlignment="1">
      <alignment horizontal="center" vertical="center"/>
    </xf>
    <xf numFmtId="0" fontId="3" fillId="0" borderId="36" xfId="41" applyFont="1" applyBorder="1" applyAlignment="1">
      <alignment horizontal="center"/>
    </xf>
    <xf numFmtId="0" fontId="3" fillId="0" borderId="37" xfId="41" applyFont="1" applyBorder="1" applyAlignment="1">
      <alignment horizontal="center"/>
    </xf>
    <xf numFmtId="0" fontId="3" fillId="0" borderId="38" xfId="41" applyFont="1" applyBorder="1" applyAlignment="1">
      <alignment horizontal="center"/>
    </xf>
    <xf numFmtId="0" fontId="157" fillId="0" borderId="74" xfId="41" applyFont="1" applyBorder="1" applyAlignment="1">
      <alignment horizontal="center" vertical="center"/>
    </xf>
    <xf numFmtId="0" fontId="157" fillId="0" borderId="114" xfId="41" applyFont="1" applyBorder="1" applyAlignment="1">
      <alignment horizontal="center" vertical="center"/>
    </xf>
    <xf numFmtId="0" fontId="157" fillId="0" borderId="115" xfId="41" applyFont="1" applyBorder="1" applyAlignment="1">
      <alignment horizontal="center" vertical="center"/>
    </xf>
    <xf numFmtId="4" fontId="161" fillId="0" borderId="82" xfId="41" applyNumberFormat="1" applyFont="1" applyBorder="1" applyAlignment="1">
      <alignment horizontal="center" vertical="center"/>
    </xf>
    <xf numFmtId="4" fontId="161" fillId="0" borderId="84" xfId="41" applyNumberFormat="1" applyFont="1" applyBorder="1" applyAlignment="1">
      <alignment horizontal="center" vertical="center"/>
    </xf>
    <xf numFmtId="4" fontId="160" fillId="0" borderId="84" xfId="41" applyNumberFormat="1" applyFont="1" applyBorder="1" applyAlignment="1">
      <alignment horizontal="center" vertical="center"/>
    </xf>
    <xf numFmtId="4" fontId="160" fillId="0" borderId="110" xfId="41" applyNumberFormat="1" applyFont="1" applyBorder="1" applyAlignment="1">
      <alignment horizontal="center" vertical="center"/>
    </xf>
    <xf numFmtId="4" fontId="161" fillId="0" borderId="82" xfId="41" applyNumberFormat="1" applyFont="1" applyBorder="1" applyAlignment="1">
      <alignment horizontal="center"/>
    </xf>
    <xf numFmtId="4" fontId="161" fillId="0" borderId="84" xfId="41" applyNumberFormat="1" applyFont="1" applyBorder="1" applyAlignment="1">
      <alignment horizontal="center"/>
    </xf>
    <xf numFmtId="4" fontId="160" fillId="0" borderId="84" xfId="43" applyNumberFormat="1" applyFont="1" applyFill="1" applyBorder="1" applyAlignment="1">
      <alignment horizontal="center"/>
    </xf>
    <xf numFmtId="4" fontId="160" fillId="0" borderId="110" xfId="43" applyNumberFormat="1" applyFont="1" applyFill="1" applyBorder="1" applyAlignment="1">
      <alignment horizontal="center"/>
    </xf>
    <xf numFmtId="0" fontId="168" fillId="68" borderId="84" xfId="44" applyFont="1" applyFill="1" applyBorder="1" applyAlignment="1">
      <alignment horizontal="center" vertical="center"/>
    </xf>
    <xf numFmtId="0" fontId="51" fillId="0" borderId="21" xfId="44" applyFont="1" applyBorder="1" applyAlignment="1">
      <alignment horizontal="left" vertical="center"/>
    </xf>
    <xf numFmtId="0" fontId="51" fillId="0" borderId="22" xfId="44" applyFont="1" applyBorder="1" applyAlignment="1">
      <alignment horizontal="left" vertical="center"/>
    </xf>
    <xf numFmtId="15" fontId="70" fillId="23" borderId="0" xfId="41" applyNumberFormat="1" applyFont="1" applyFill="1" applyAlignment="1">
      <alignment horizontal="left"/>
    </xf>
    <xf numFmtId="0" fontId="163" fillId="23" borderId="19" xfId="41" quotePrefix="1" applyFont="1" applyFill="1" applyBorder="1" applyAlignment="1">
      <alignment horizontal="left" vertical="center" wrapText="1"/>
    </xf>
    <xf numFmtId="0" fontId="163" fillId="23" borderId="11" xfId="41" applyFont="1" applyFill="1" applyBorder="1" applyAlignment="1">
      <alignment horizontal="left" vertical="center"/>
    </xf>
    <xf numFmtId="0" fontId="163" fillId="23" borderId="20" xfId="41" applyFont="1" applyFill="1" applyBorder="1" applyAlignment="1">
      <alignment horizontal="left" vertical="center"/>
    </xf>
    <xf numFmtId="0" fontId="163" fillId="23" borderId="18" xfId="41" quotePrefix="1" applyFont="1" applyFill="1" applyBorder="1" applyAlignment="1">
      <alignment horizontal="left" vertical="center" wrapText="1"/>
    </xf>
    <xf numFmtId="0" fontId="163" fillId="23" borderId="0" xfId="41" applyFont="1" applyFill="1" applyAlignment="1">
      <alignment horizontal="left" vertical="center"/>
    </xf>
    <xf numFmtId="0" fontId="163" fillId="23" borderId="14" xfId="41" applyFont="1" applyFill="1" applyBorder="1" applyAlignment="1">
      <alignment horizontal="left" vertical="center"/>
    </xf>
    <xf numFmtId="0" fontId="163" fillId="23" borderId="18" xfId="41" applyFont="1" applyFill="1" applyBorder="1" applyAlignment="1">
      <alignment horizontal="left" vertical="center"/>
    </xf>
    <xf numFmtId="0" fontId="163" fillId="23" borderId="12" xfId="41" applyFont="1" applyFill="1" applyBorder="1" applyAlignment="1">
      <alignment horizontal="left" vertical="center"/>
    </xf>
    <xf numFmtId="0" fontId="163" fillId="23" borderId="13" xfId="41" applyFont="1" applyFill="1" applyBorder="1" applyAlignment="1">
      <alignment horizontal="left" vertical="center"/>
    </xf>
    <xf numFmtId="0" fontId="163" fillId="23" borderId="15" xfId="41" applyFont="1" applyFill="1" applyBorder="1" applyAlignment="1">
      <alignment horizontal="left" vertical="center"/>
    </xf>
    <xf numFmtId="0" fontId="163" fillId="23" borderId="19" xfId="41" quotePrefix="1" applyFont="1" applyFill="1" applyBorder="1" applyAlignment="1">
      <alignment horizontal="left" vertical="top" wrapText="1"/>
    </xf>
    <xf numFmtId="0" fontId="163" fillId="23" borderId="11" xfId="41" applyFont="1" applyFill="1" applyBorder="1" applyAlignment="1">
      <alignment horizontal="left" vertical="top"/>
    </xf>
    <xf numFmtId="0" fontId="163" fillId="23" borderId="20" xfId="41" applyFont="1" applyFill="1" applyBorder="1" applyAlignment="1">
      <alignment horizontal="left" vertical="top"/>
    </xf>
    <xf numFmtId="0" fontId="163" fillId="23" borderId="18" xfId="41" quotePrefix="1" applyFont="1" applyFill="1" applyBorder="1" applyAlignment="1">
      <alignment horizontal="left" vertical="top" wrapText="1"/>
    </xf>
    <xf numFmtId="0" fontId="163" fillId="23" borderId="0" xfId="41" applyFont="1" applyFill="1" applyAlignment="1">
      <alignment horizontal="left" vertical="top"/>
    </xf>
    <xf numFmtId="0" fontId="163" fillId="23" borderId="14" xfId="41" applyFont="1" applyFill="1" applyBorder="1" applyAlignment="1">
      <alignment horizontal="left" vertical="top"/>
    </xf>
    <xf numFmtId="0" fontId="163" fillId="23" borderId="12" xfId="41" applyFont="1" applyFill="1" applyBorder="1" applyAlignment="1">
      <alignment horizontal="left" vertical="top"/>
    </xf>
    <xf numFmtId="0" fontId="163" fillId="23" borderId="13" xfId="41" applyFont="1" applyFill="1" applyBorder="1" applyAlignment="1">
      <alignment horizontal="left" vertical="top"/>
    </xf>
    <xf numFmtId="0" fontId="163" fillId="23" borderId="15" xfId="41" applyFont="1" applyFill="1" applyBorder="1" applyAlignment="1">
      <alignment horizontal="left" vertical="top"/>
    </xf>
    <xf numFmtId="0" fontId="163" fillId="23" borderId="11" xfId="41" quotePrefix="1" applyFont="1" applyFill="1" applyBorder="1" applyAlignment="1">
      <alignment horizontal="left" vertical="top" wrapText="1"/>
    </xf>
    <xf numFmtId="0" fontId="163" fillId="23" borderId="20" xfId="41" quotePrefix="1" applyFont="1" applyFill="1" applyBorder="1" applyAlignment="1">
      <alignment horizontal="left" vertical="top" wrapText="1"/>
    </xf>
    <xf numFmtId="0" fontId="163" fillId="23" borderId="0" xfId="41" quotePrefix="1" applyFont="1" applyFill="1" applyAlignment="1">
      <alignment horizontal="left" vertical="top" wrapText="1"/>
    </xf>
    <xf numFmtId="0" fontId="163" fillId="23" borderId="14" xfId="41" quotePrefix="1" applyFont="1" applyFill="1" applyBorder="1" applyAlignment="1">
      <alignment horizontal="left" vertical="top" wrapText="1"/>
    </xf>
    <xf numFmtId="0" fontId="163" fillId="23" borderId="12" xfId="41" quotePrefix="1" applyFont="1" applyFill="1" applyBorder="1" applyAlignment="1">
      <alignment horizontal="left" vertical="top" wrapText="1"/>
    </xf>
    <xf numFmtId="0" fontId="163" fillId="23" borderId="13" xfId="41" quotePrefix="1" applyFont="1" applyFill="1" applyBorder="1" applyAlignment="1">
      <alignment horizontal="left" vertical="top" wrapText="1"/>
    </xf>
    <xf numFmtId="0" fontId="163" fillId="23" borderId="15" xfId="41" quotePrefix="1" applyFont="1" applyFill="1" applyBorder="1" applyAlignment="1">
      <alignment horizontal="left" vertical="top" wrapText="1"/>
    </xf>
    <xf numFmtId="0" fontId="163" fillId="23" borderId="11" xfId="41" quotePrefix="1" applyFont="1" applyFill="1" applyBorder="1" applyAlignment="1">
      <alignment horizontal="left" vertical="top"/>
    </xf>
    <xf numFmtId="0" fontId="163" fillId="23" borderId="20" xfId="41" quotePrefix="1" applyFont="1" applyFill="1" applyBorder="1" applyAlignment="1">
      <alignment horizontal="left" vertical="top"/>
    </xf>
    <xf numFmtId="0" fontId="163" fillId="23" borderId="18" xfId="41" quotePrefix="1" applyFont="1" applyFill="1" applyBorder="1" applyAlignment="1">
      <alignment horizontal="left" vertical="top"/>
    </xf>
    <xf numFmtId="0" fontId="163" fillId="23" borderId="0" xfId="41" quotePrefix="1" applyFont="1" applyFill="1" applyAlignment="1">
      <alignment horizontal="left" vertical="top"/>
    </xf>
    <xf numFmtId="0" fontId="163" fillId="23" borderId="14" xfId="41" quotePrefix="1" applyFont="1" applyFill="1" applyBorder="1" applyAlignment="1">
      <alignment horizontal="left" vertical="top"/>
    </xf>
    <xf numFmtId="0" fontId="163" fillId="23" borderId="12" xfId="41" quotePrefix="1" applyFont="1" applyFill="1" applyBorder="1" applyAlignment="1">
      <alignment horizontal="left" vertical="top"/>
    </xf>
    <xf numFmtId="0" fontId="163" fillId="23" borderId="13" xfId="41" quotePrefix="1" applyFont="1" applyFill="1" applyBorder="1" applyAlignment="1">
      <alignment horizontal="left" vertical="top"/>
    </xf>
    <xf numFmtId="0" fontId="163" fillId="23" borderId="15" xfId="41" quotePrefix="1" applyFont="1" applyFill="1" applyBorder="1" applyAlignment="1">
      <alignment horizontal="left" vertical="top"/>
    </xf>
    <xf numFmtId="0" fontId="165" fillId="23" borderId="0" xfId="44" applyFont="1" applyFill="1" applyAlignment="1">
      <alignment horizontal="center" vertical="center"/>
    </xf>
    <xf numFmtId="0" fontId="84" fillId="23" borderId="0" xfId="44" applyFont="1" applyFill="1" applyAlignment="1">
      <alignment horizontal="center" vertical="center"/>
    </xf>
    <xf numFmtId="0" fontId="168" fillId="23" borderId="0" xfId="44" applyFont="1" applyFill="1" applyAlignment="1">
      <alignment horizontal="center" vertical="center"/>
    </xf>
    <xf numFmtId="203" fontId="210" fillId="56" borderId="117" xfId="37" applyNumberFormat="1" applyFont="1" applyFill="1" applyBorder="1" applyAlignment="1">
      <alignment horizontal="center" vertical="center" wrapText="1"/>
    </xf>
    <xf numFmtId="203" fontId="210" fillId="56" borderId="17" xfId="37" applyNumberFormat="1" applyFont="1" applyFill="1" applyBorder="1" applyAlignment="1">
      <alignment horizontal="center" vertical="center" wrapText="1"/>
    </xf>
    <xf numFmtId="203" fontId="210" fillId="56" borderId="114" xfId="37" applyNumberFormat="1" applyFont="1" applyFill="1" applyBorder="1" applyAlignment="1">
      <alignment horizontal="center" vertical="center" wrapText="1"/>
    </xf>
    <xf numFmtId="2" fontId="214" fillId="56" borderId="17" xfId="37" applyNumberFormat="1" applyFont="1" applyFill="1" applyBorder="1" applyAlignment="1">
      <alignment horizontal="center" vertical="center" wrapText="1"/>
    </xf>
    <xf numFmtId="2" fontId="214" fillId="56" borderId="114" xfId="37" applyNumberFormat="1" applyFont="1" applyFill="1" applyBorder="1" applyAlignment="1">
      <alignment horizontal="center" vertical="center" wrapText="1"/>
    </xf>
    <xf numFmtId="10" fontId="214" fillId="56" borderId="17" xfId="37" applyNumberFormat="1" applyFont="1" applyFill="1" applyBorder="1" applyAlignment="1">
      <alignment horizontal="center" vertical="center" wrapText="1"/>
    </xf>
    <xf numFmtId="10" fontId="214" fillId="56" borderId="114" xfId="37" applyNumberFormat="1" applyFont="1" applyFill="1" applyBorder="1" applyAlignment="1">
      <alignment horizontal="center" vertical="center" wrapText="1"/>
    </xf>
    <xf numFmtId="203" fontId="210" fillId="56" borderId="130" xfId="37" applyNumberFormat="1" applyFont="1" applyFill="1" applyBorder="1" applyAlignment="1">
      <alignment horizontal="center" vertical="center" wrapText="1"/>
    </xf>
    <xf numFmtId="203" fontId="210" fillId="56" borderId="132" xfId="37" applyNumberFormat="1" applyFont="1" applyFill="1" applyBorder="1" applyAlignment="1">
      <alignment horizontal="center" vertical="center" wrapText="1"/>
    </xf>
    <xf numFmtId="2" fontId="214" fillId="56" borderId="130" xfId="37" applyNumberFormat="1" applyFont="1" applyFill="1" applyBorder="1" applyAlignment="1">
      <alignment horizontal="center" vertical="center" wrapText="1"/>
    </xf>
    <xf numFmtId="2" fontId="214" fillId="56" borderId="132" xfId="37" applyNumberFormat="1" applyFont="1" applyFill="1" applyBorder="1" applyAlignment="1">
      <alignment horizontal="center" vertical="center" wrapText="1"/>
    </xf>
    <xf numFmtId="10" fontId="214" fillId="56" borderId="130" xfId="37" applyNumberFormat="1" applyFont="1" applyFill="1" applyBorder="1" applyAlignment="1">
      <alignment horizontal="center" vertical="center" wrapText="1"/>
    </xf>
    <xf numFmtId="10" fontId="214" fillId="56" borderId="132" xfId="37" applyNumberFormat="1" applyFont="1" applyFill="1" applyBorder="1" applyAlignment="1">
      <alignment horizontal="center" vertical="center" wrapText="1"/>
    </xf>
    <xf numFmtId="14" fontId="211" fillId="56" borderId="51" xfId="37" applyNumberFormat="1" applyFont="1" applyFill="1" applyBorder="1" applyAlignment="1">
      <alignment horizontal="center" vertical="center"/>
    </xf>
    <xf numFmtId="14" fontId="211" fillId="56" borderId="52" xfId="37" applyNumberFormat="1" applyFont="1" applyFill="1" applyBorder="1" applyAlignment="1">
      <alignment horizontal="center" vertical="center"/>
    </xf>
    <xf numFmtId="14" fontId="211" fillId="56" borderId="47" xfId="37" applyNumberFormat="1" applyFont="1" applyFill="1" applyBorder="1" applyAlignment="1">
      <alignment horizontal="center" vertical="center"/>
    </xf>
    <xf numFmtId="0" fontId="210" fillId="56" borderId="84" xfId="48" applyFont="1" applyFill="1" applyBorder="1" applyAlignment="1">
      <alignment horizontal="center" vertical="center" wrapText="1"/>
    </xf>
    <xf numFmtId="0" fontId="155" fillId="23" borderId="145" xfId="52" applyFont="1" applyFill="1" applyBorder="1" applyAlignment="1">
      <alignment horizontal="center" vertical="center" wrapText="1"/>
    </xf>
    <xf numFmtId="0" fontId="189" fillId="23" borderId="0" xfId="52" applyFont="1" applyFill="1" applyAlignment="1">
      <alignment horizontal="center" vertical="top"/>
    </xf>
    <xf numFmtId="0" fontId="198" fillId="0" borderId="51" xfId="55" applyFont="1" applyBorder="1" applyAlignment="1">
      <alignment horizontal="center"/>
    </xf>
    <xf numFmtId="0" fontId="198" fillId="0" borderId="52" xfId="55" applyFont="1" applyBorder="1" applyAlignment="1">
      <alignment horizontal="center"/>
    </xf>
    <xf numFmtId="0" fontId="198" fillId="0" borderId="47" xfId="55" applyFont="1" applyBorder="1" applyAlignment="1">
      <alignment horizontal="center"/>
    </xf>
    <xf numFmtId="0" fontId="194" fillId="8" borderId="44" xfId="54" applyFont="1" applyFill="1" applyBorder="1" applyAlignment="1">
      <alignment horizontal="center" vertical="center"/>
    </xf>
    <xf numFmtId="0" fontId="194" fillId="8" borderId="155" xfId="54" applyFont="1" applyFill="1" applyBorder="1" applyAlignment="1">
      <alignment horizontal="center" vertical="center"/>
    </xf>
    <xf numFmtId="0" fontId="194" fillId="8" borderId="45" xfId="54" applyFont="1" applyFill="1" applyBorder="1" applyAlignment="1">
      <alignment horizontal="center" vertical="center"/>
    </xf>
    <xf numFmtId="0" fontId="194" fillId="8" borderId="156" xfId="54" applyFont="1" applyFill="1" applyBorder="1" applyAlignment="1">
      <alignment horizontal="center" vertical="center"/>
    </xf>
    <xf numFmtId="0" fontId="194" fillId="8" borderId="46" xfId="54" applyFont="1" applyFill="1" applyBorder="1" applyAlignment="1">
      <alignment horizontal="center" vertical="center"/>
    </xf>
    <xf numFmtId="2" fontId="196" fillId="0" borderId="36" xfId="54" applyNumberFormat="1" applyFont="1" applyBorder="1" applyAlignment="1">
      <alignment horizontal="center" vertical="center" wrapText="1"/>
    </xf>
    <xf numFmtId="2" fontId="196" fillId="0" borderId="37" xfId="54" applyNumberFormat="1" applyFont="1" applyBorder="1" applyAlignment="1">
      <alignment horizontal="center" vertical="center" wrapText="1"/>
    </xf>
    <xf numFmtId="2" fontId="196" fillId="0" borderId="38" xfId="54" applyNumberFormat="1" applyFont="1" applyBorder="1" applyAlignment="1">
      <alignment horizontal="center" vertical="center" wrapText="1"/>
    </xf>
    <xf numFmtId="0" fontId="197" fillId="0" borderId="116" xfId="55" applyFont="1" applyBorder="1" applyAlignment="1">
      <alignment horizontal="center"/>
    </xf>
    <xf numFmtId="0" fontId="197" fillId="0" borderId="49" xfId="55" applyFont="1" applyBorder="1" applyAlignment="1">
      <alignment horizontal="center"/>
    </xf>
    <xf numFmtId="0" fontId="197" fillId="0" borderId="157" xfId="55" applyFont="1" applyBorder="1" applyAlignment="1">
      <alignment horizontal="center"/>
    </xf>
    <xf numFmtId="0" fontId="197" fillId="0" borderId="129" xfId="55" applyFont="1" applyBorder="1" applyAlignment="1">
      <alignment horizontal="center"/>
    </xf>
    <xf numFmtId="0" fontId="197" fillId="0" borderId="158" xfId="55" applyFont="1" applyBorder="1" applyAlignment="1">
      <alignment horizontal="center"/>
    </xf>
    <xf numFmtId="0" fontId="197" fillId="0" borderId="159" xfId="55" applyFont="1" applyBorder="1" applyAlignment="1">
      <alignment horizontal="center"/>
    </xf>
    <xf numFmtId="0" fontId="197" fillId="0" borderId="131" xfId="55" applyFont="1" applyBorder="1" applyAlignment="1">
      <alignment horizontal="center"/>
    </xf>
    <xf numFmtId="0" fontId="197" fillId="0" borderId="160" xfId="55" applyFont="1" applyBorder="1" applyAlignment="1">
      <alignment horizontal="center"/>
    </xf>
    <xf numFmtId="0" fontId="197" fillId="0" borderId="161" xfId="55" applyFont="1" applyBorder="1" applyAlignment="1">
      <alignment horizontal="center"/>
    </xf>
    <xf numFmtId="0" fontId="32" fillId="0" borderId="51" xfId="54" applyFont="1" applyBorder="1" applyAlignment="1">
      <alignment horizontal="center" vertical="center"/>
    </xf>
    <xf numFmtId="0" fontId="32" fillId="0" borderId="52" xfId="54" applyFont="1" applyBorder="1" applyAlignment="1">
      <alignment horizontal="center" vertical="center"/>
    </xf>
    <xf numFmtId="0" fontId="32" fillId="0" borderId="47" xfId="54" applyFont="1" applyBorder="1" applyAlignment="1">
      <alignment horizontal="center" vertical="center"/>
    </xf>
    <xf numFmtId="14" fontId="198" fillId="12" borderId="48" xfId="55" applyNumberFormat="1" applyFont="1" applyFill="1" applyBorder="1" applyAlignment="1">
      <alignment horizontal="center"/>
    </xf>
    <xf numFmtId="14" fontId="198" fillId="12" borderId="49" xfId="55" applyNumberFormat="1" applyFont="1" applyFill="1" applyBorder="1" applyAlignment="1">
      <alignment horizontal="center"/>
    </xf>
    <xf numFmtId="0" fontId="198" fillId="12" borderId="49" xfId="55" applyFont="1" applyFill="1" applyBorder="1" applyAlignment="1">
      <alignment horizontal="center"/>
    </xf>
    <xf numFmtId="0" fontId="198" fillId="12" borderId="50" xfId="55" applyFont="1" applyFill="1" applyBorder="1" applyAlignment="1">
      <alignment horizontal="center"/>
    </xf>
    <xf numFmtId="0" fontId="55" fillId="0" borderId="51" xfId="55" applyFont="1" applyBorder="1" applyAlignment="1">
      <alignment horizontal="center"/>
    </xf>
    <xf numFmtId="0" fontId="55" fillId="0" borderId="52" xfId="55" applyFont="1" applyBorder="1" applyAlignment="1">
      <alignment horizontal="center"/>
    </xf>
    <xf numFmtId="0" fontId="55" fillId="0" borderId="47" xfId="55" applyFont="1" applyBorder="1" applyAlignment="1">
      <alignment horizontal="center"/>
    </xf>
    <xf numFmtId="0" fontId="55" fillId="0" borderId="51" xfId="55" applyFont="1" applyBorder="1" applyAlignment="1">
      <alignment horizontal="center" wrapText="1"/>
    </xf>
    <xf numFmtId="0" fontId="55" fillId="0" borderId="52" xfId="55" applyFont="1" applyBorder="1" applyAlignment="1">
      <alignment horizontal="center" wrapText="1"/>
    </xf>
    <xf numFmtId="0" fontId="55" fillId="0" borderId="47" xfId="55" applyFont="1" applyBorder="1" applyAlignment="1">
      <alignment horizontal="center" wrapText="1"/>
    </xf>
    <xf numFmtId="0" fontId="35" fillId="0" borderId="51" xfId="55" applyFont="1" applyBorder="1" applyAlignment="1">
      <alignment horizontal="center"/>
    </xf>
    <xf numFmtId="0" fontId="35" fillId="0" borderId="52" xfId="55" applyFont="1" applyBorder="1" applyAlignment="1">
      <alignment horizontal="center"/>
    </xf>
    <xf numFmtId="0" fontId="35" fillId="0" borderId="47" xfId="55" applyFont="1" applyBorder="1" applyAlignment="1">
      <alignment horizontal="center"/>
    </xf>
    <xf numFmtId="0" fontId="146" fillId="23" borderId="39" xfId="51" applyFont="1" applyFill="1" applyBorder="1" applyAlignment="1">
      <alignment horizontal="right"/>
    </xf>
    <xf numFmtId="0" fontId="146" fillId="23" borderId="0" xfId="51" applyFont="1" applyFill="1" applyAlignment="1">
      <alignment horizontal="right"/>
    </xf>
    <xf numFmtId="0" fontId="1" fillId="23" borderId="75" xfId="51" applyFill="1" applyBorder="1" applyAlignment="1">
      <alignment horizontal="center"/>
    </xf>
    <xf numFmtId="0" fontId="1" fillId="23" borderId="66" xfId="51" applyFill="1" applyBorder="1" applyAlignment="1">
      <alignment horizontal="center"/>
    </xf>
    <xf numFmtId="0" fontId="1" fillId="23" borderId="82" xfId="51" applyFill="1" applyBorder="1" applyAlignment="1">
      <alignment horizontal="center"/>
    </xf>
    <xf numFmtId="0" fontId="143" fillId="23" borderId="105" xfId="51" applyFont="1" applyFill="1" applyBorder="1" applyAlignment="1">
      <alignment horizontal="center" vertical="center"/>
    </xf>
    <xf numFmtId="0" fontId="143" fillId="23" borderId="37" xfId="51" applyFont="1" applyFill="1" applyBorder="1" applyAlignment="1">
      <alignment horizontal="center" vertical="center"/>
    </xf>
    <xf numFmtId="0" fontId="143" fillId="23" borderId="106" xfId="51" applyFont="1" applyFill="1" applyBorder="1" applyAlignment="1">
      <alignment horizontal="center" vertical="center"/>
    </xf>
    <xf numFmtId="0" fontId="143" fillId="23" borderId="12" xfId="51" applyFont="1" applyFill="1" applyBorder="1" applyAlignment="1">
      <alignment horizontal="center" vertical="center"/>
    </xf>
    <xf numFmtId="0" fontId="143" fillId="23" borderId="13" xfId="51" applyFont="1" applyFill="1" applyBorder="1" applyAlignment="1">
      <alignment horizontal="center" vertical="center"/>
    </xf>
    <xf numFmtId="0" fontId="143" fillId="23" borderId="15" xfId="51" applyFont="1" applyFill="1" applyBorder="1" applyAlignment="1">
      <alignment horizontal="center" vertical="center"/>
    </xf>
    <xf numFmtId="0" fontId="1" fillId="23" borderId="107" xfId="51" applyFill="1" applyBorder="1" applyAlignment="1">
      <alignment horizontal="center" vertical="center"/>
    </xf>
    <xf numFmtId="0" fontId="1" fillId="23" borderId="109" xfId="51" applyFill="1" applyBorder="1" applyAlignment="1">
      <alignment horizontal="center" vertical="center"/>
    </xf>
    <xf numFmtId="0" fontId="1" fillId="23" borderId="110" xfId="51" applyFill="1" applyBorder="1" applyAlignment="1">
      <alignment horizontal="center" vertical="center"/>
    </xf>
    <xf numFmtId="0" fontId="66" fillId="23" borderId="139" xfId="51" applyFont="1" applyFill="1" applyBorder="1" applyAlignment="1">
      <alignment horizontal="center" vertical="center"/>
    </xf>
    <xf numFmtId="0" fontId="66" fillId="23" borderId="153" xfId="51" applyFont="1" applyFill="1" applyBorder="1" applyAlignment="1">
      <alignment horizontal="center" vertical="center"/>
    </xf>
    <xf numFmtId="0" fontId="66" fillId="23" borderId="162" xfId="51" applyFont="1" applyFill="1" applyBorder="1" applyAlignment="1">
      <alignment horizontal="center" vertical="center"/>
    </xf>
    <xf numFmtId="0" fontId="66" fillId="23" borderId="12" xfId="51" applyFont="1" applyFill="1" applyBorder="1" applyAlignment="1">
      <alignment horizontal="center" vertical="center"/>
    </xf>
    <xf numFmtId="0" fontId="66" fillId="23" borderId="13" xfId="51" applyFont="1" applyFill="1" applyBorder="1" applyAlignment="1">
      <alignment horizontal="center" vertical="center"/>
    </xf>
    <xf numFmtId="0" fontId="66" fillId="23" borderId="15" xfId="51" applyFont="1" applyFill="1" applyBorder="1" applyAlignment="1">
      <alignment horizontal="center" vertical="center"/>
    </xf>
    <xf numFmtId="0" fontId="143" fillId="23" borderId="0" xfId="51" applyFont="1" applyFill="1" applyAlignment="1">
      <alignment horizontal="center" vertical="center"/>
    </xf>
    <xf numFmtId="0" fontId="150" fillId="0" borderId="130" xfId="38" applyFont="1" applyBorder="1" applyAlignment="1">
      <alignment horizontal="center" vertical="center"/>
    </xf>
    <xf numFmtId="0" fontId="151" fillId="0" borderId="130" xfId="38" applyFont="1" applyBorder="1" applyAlignment="1">
      <alignment horizontal="center" vertical="center"/>
    </xf>
    <xf numFmtId="0" fontId="51" fillId="0" borderId="117" xfId="45" applyFont="1" applyBorder="1" applyAlignment="1">
      <alignment horizontal="center" vertical="center" wrapText="1"/>
    </xf>
    <xf numFmtId="0" fontId="51" fillId="0" borderId="157" xfId="45" applyFont="1" applyBorder="1" applyAlignment="1">
      <alignment horizontal="center" vertical="center" wrapText="1"/>
    </xf>
    <xf numFmtId="0" fontId="253" fillId="83" borderId="197" xfId="0" applyFont="1" applyFill="1" applyBorder="1" applyAlignment="1">
      <alignment horizontal="center"/>
    </xf>
    <xf numFmtId="0" fontId="0" fillId="83" borderId="198" xfId="0" applyFill="1" applyBorder="1"/>
    <xf numFmtId="0" fontId="253" fillId="83" borderId="137" xfId="0" applyFont="1" applyFill="1" applyBorder="1" applyAlignment="1">
      <alignment horizontal="center"/>
    </xf>
    <xf numFmtId="0" fontId="0" fillId="83" borderId="163" xfId="0" applyFill="1" applyBorder="1"/>
    <xf numFmtId="0" fontId="232" fillId="0" borderId="137" xfId="45" applyFont="1" applyBorder="1" applyAlignment="1">
      <alignment horizontal="center" vertical="center"/>
    </xf>
    <xf numFmtId="0" fontId="232" fillId="0" borderId="158" xfId="45" applyFont="1" applyBorder="1" applyAlignment="1">
      <alignment horizontal="center" vertical="center"/>
    </xf>
    <xf numFmtId="0" fontId="232" fillId="0" borderId="163" xfId="45" applyFont="1" applyBorder="1" applyAlignment="1">
      <alignment horizontal="center" vertical="center"/>
    </xf>
    <xf numFmtId="210" fontId="51" fillId="0" borderId="12" xfId="45" applyNumberFormat="1" applyFont="1" applyBorder="1" applyAlignment="1">
      <alignment horizontal="center" vertical="center"/>
    </xf>
    <xf numFmtId="210" fontId="51" fillId="0" borderId="13" xfId="45" applyNumberFormat="1" applyFont="1" applyBorder="1" applyAlignment="1">
      <alignment horizontal="center" vertical="center"/>
    </xf>
    <xf numFmtId="210" fontId="51" fillId="0" borderId="158" xfId="45" applyNumberFormat="1" applyFont="1" applyBorder="1" applyAlignment="1">
      <alignment horizontal="center" vertical="center"/>
    </xf>
    <xf numFmtId="210" fontId="51" fillId="0" borderId="163" xfId="45" applyNumberFormat="1" applyFont="1" applyBorder="1" applyAlignment="1">
      <alignment horizontal="center" vertical="center"/>
    </xf>
    <xf numFmtId="210" fontId="51" fillId="0" borderId="137" xfId="45" applyNumberFormat="1" applyFont="1" applyBorder="1" applyAlignment="1">
      <alignment horizontal="center" vertical="center"/>
    </xf>
    <xf numFmtId="0" fontId="247" fillId="76" borderId="130" xfId="51" applyFont="1" applyFill="1" applyBorder="1" applyAlignment="1">
      <alignment horizontal="left" vertical="center" wrapText="1"/>
    </xf>
    <xf numFmtId="212" fontId="246" fillId="46" borderId="130" xfId="59" applyNumberFormat="1" applyFont="1" applyFill="1" applyBorder="1" applyAlignment="1">
      <alignment horizontal="center" vertical="center" wrapText="1"/>
    </xf>
    <xf numFmtId="0" fontId="248" fillId="23" borderId="130" xfId="51" applyFont="1" applyFill="1" applyBorder="1" applyAlignment="1">
      <alignment horizontal="left" vertical="center" wrapText="1"/>
    </xf>
    <xf numFmtId="0" fontId="53" fillId="79" borderId="38" xfId="45" applyFont="1" applyFill="1" applyBorder="1" applyAlignment="1">
      <alignment horizontal="center" vertical="center" wrapText="1"/>
    </xf>
    <xf numFmtId="0" fontId="53" fillId="79" borderId="43" xfId="45" applyFont="1" applyFill="1" applyBorder="1" applyAlignment="1">
      <alignment horizontal="center" vertical="center" wrapText="1"/>
    </xf>
    <xf numFmtId="213" fontId="51" fillId="0" borderId="36" xfId="45" applyNumberFormat="1" applyFont="1" applyBorder="1" applyAlignment="1">
      <alignment horizontal="center" vertical="center"/>
    </xf>
    <xf numFmtId="213" fontId="51" fillId="0" borderId="37" xfId="45" applyNumberFormat="1" applyFont="1" applyBorder="1" applyAlignment="1">
      <alignment horizontal="center" vertical="center"/>
    </xf>
    <xf numFmtId="213" fontId="51" fillId="0" borderId="38" xfId="45" applyNumberFormat="1" applyFont="1" applyBorder="1" applyAlignment="1">
      <alignment horizontal="center" vertical="center"/>
    </xf>
    <xf numFmtId="214" fontId="51" fillId="0" borderId="36" xfId="45" applyNumberFormat="1" applyFont="1" applyBorder="1" applyAlignment="1">
      <alignment horizontal="center" vertical="center"/>
    </xf>
    <xf numFmtId="214" fontId="51" fillId="0" borderId="37" xfId="45" applyNumberFormat="1" applyFont="1" applyBorder="1" applyAlignment="1">
      <alignment horizontal="center" vertical="center"/>
    </xf>
    <xf numFmtId="214" fontId="51" fillId="0" borderId="38" xfId="45" applyNumberFormat="1" applyFont="1" applyBorder="1" applyAlignment="1">
      <alignment horizontal="center" vertical="center"/>
    </xf>
    <xf numFmtId="210" fontId="53" fillId="74" borderId="57" xfId="45" applyNumberFormat="1" applyFont="1" applyFill="1" applyBorder="1" applyAlignment="1">
      <alignment horizontal="center" vertical="center"/>
    </xf>
    <xf numFmtId="210" fontId="53" fillId="74" borderId="13" xfId="45" applyNumberFormat="1" applyFont="1" applyFill="1" applyBorder="1" applyAlignment="1">
      <alignment horizontal="center" vertical="center"/>
    </xf>
    <xf numFmtId="210" fontId="53" fillId="74" borderId="58" xfId="45" applyNumberFormat="1" applyFont="1" applyFill="1" applyBorder="1" applyAlignment="1">
      <alignment horizontal="center" vertical="center"/>
    </xf>
    <xf numFmtId="213" fontId="239" fillId="16" borderId="48" xfId="60" applyNumberFormat="1" applyFont="1" applyFill="1" applyBorder="1" applyAlignment="1">
      <alignment horizontal="center" vertical="center" wrapText="1"/>
    </xf>
    <xf numFmtId="213" fontId="239" fillId="16" borderId="50" xfId="60" applyNumberFormat="1" applyFont="1" applyFill="1" applyBorder="1" applyAlignment="1">
      <alignment horizontal="center" vertical="center" wrapText="1"/>
    </xf>
  </cellXfs>
  <cellStyles count="62">
    <cellStyle name="Buena" xfId="1" xr:uid="{00000000-0005-0000-0000-000000000000}"/>
    <cellStyle name="Cancel" xfId="2" xr:uid="{00000000-0005-0000-0000-000001000000}"/>
    <cellStyle name="Cancel 2" xfId="3" xr:uid="{00000000-0005-0000-0000-000002000000}"/>
    <cellStyle name="Cancel 2 2 2 2" xfId="45" xr:uid="{E22DB4EB-0587-48BC-A9C5-8F31A80B8CF6}"/>
    <cellStyle name="Cancel 3" xfId="4" xr:uid="{00000000-0005-0000-0000-000003000000}"/>
    <cellStyle name="Cancel_DS-AMEC-3000-7-18-3008  Rev.A" xfId="5" xr:uid="{00000000-0005-0000-0000-000004000000}"/>
    <cellStyle name="Celda de comprobación" xfId="6" xr:uid="{00000000-0005-0000-0000-000005000000}"/>
    <cellStyle name="Celda vinculada" xfId="7" xr:uid="{00000000-0005-0000-0000-000006000000}"/>
    <cellStyle name="Encabezado 4" xfId="8" xr:uid="{00000000-0005-0000-0000-000007000000}"/>
    <cellStyle name="Entrada" xfId="9" xr:uid="{00000000-0005-0000-0000-000008000000}"/>
    <cellStyle name="Euro" xfId="10" xr:uid="{00000000-0005-0000-0000-000009000000}"/>
    <cellStyle name="Hipervínculo" xfId="24" builtinId="8"/>
    <cellStyle name="Lien hypertexte" xfId="11" xr:uid="{00000000-0005-0000-0000-00000A000000}"/>
    <cellStyle name="Lien hypertexte visité" xfId="12" xr:uid="{00000000-0005-0000-0000-00000B000000}"/>
    <cellStyle name="Millares" xfId="23" builtinId="3"/>
    <cellStyle name="Millares 16" xfId="49" xr:uid="{E8E52F2C-07D0-4ADA-82BF-37D1C9045548}"/>
    <cellStyle name="Millares 23 2 5 2" xfId="58" xr:uid="{5777BA3C-8FFD-449C-AA82-B22058C37AAF}"/>
    <cellStyle name="Millares 3 5" xfId="59" xr:uid="{4A87CF89-2960-4A1A-A0E8-B150C5398DF2}"/>
    <cellStyle name="Millares 4" xfId="30" xr:uid="{7B3A0B3C-3D7E-4E0E-8498-785184835B45}"/>
    <cellStyle name="Millares 4 2" xfId="28" xr:uid="{793E9A7E-53C3-4C3E-8738-AA2CF720ED56}"/>
    <cellStyle name="Millares 4 2 2 2 2 2 2 3" xfId="61" xr:uid="{05BE37A1-70E2-4EAD-87A2-0FE1637EAAAD}"/>
    <cellStyle name="Millares 5 26 2" xfId="57" xr:uid="{03D8EC53-C71A-4C8A-8F52-145C96454F36}"/>
    <cellStyle name="Moneda 2" xfId="29" xr:uid="{3AF5D9CB-4C62-40A2-BEC2-40AB373C732F}"/>
    <cellStyle name="NoRB_Left" xfId="13" xr:uid="{00000000-0005-0000-0000-00000C000000}"/>
    <cellStyle name="Normal" xfId="0" builtinId="0"/>
    <cellStyle name="Normal - Style1" xfId="41" xr:uid="{F0F36E77-49AE-4C18-A96E-694CE9E5C1E1}"/>
    <cellStyle name="Normal 10" xfId="20" xr:uid="{57DA4239-672E-487F-A99D-08D8BB603E95}"/>
    <cellStyle name="Normal 2" xfId="14" xr:uid="{00000000-0005-0000-0000-00000E000000}"/>
    <cellStyle name="Normal 2 2" xfId="15" xr:uid="{00000000-0005-0000-0000-00000F000000}"/>
    <cellStyle name="Normal 2 2 2 2" xfId="35" xr:uid="{E3503575-7730-4ACF-90B8-D424002E4E41}"/>
    <cellStyle name="Normal 2 3" xfId="19" xr:uid="{A32BBE68-3284-45D1-A21B-F6A05F303F71}"/>
    <cellStyle name="Normal 2 3 3" xfId="60" xr:uid="{D9654720-6AD4-400C-AE1F-82E6AD068BC3}"/>
    <cellStyle name="Normal 2 6" xfId="39" xr:uid="{8D34B777-2866-4E20-B0D6-DC87BDE98EB2}"/>
    <cellStyle name="Normal 3" xfId="21" xr:uid="{3B5E1953-621F-4782-B473-0DC81F0A97F1}"/>
    <cellStyle name="Normal 3 10" xfId="53" xr:uid="{8F2F6C4F-220E-48CF-B6F0-B8FFC674B379}"/>
    <cellStyle name="Normal 3 2" xfId="25" xr:uid="{C948DB3C-0F88-4C84-A7D0-30663DBA4F29}"/>
    <cellStyle name="Normal 3 2 10" xfId="52" xr:uid="{89F751E7-E4F8-45BA-A5E0-12CD076DE9EF}"/>
    <cellStyle name="Normal 3 2 2 2" xfId="38" xr:uid="{1A0FE8C4-616A-4BCA-B785-701427F33282}"/>
    <cellStyle name="Normal 3 4 2" xfId="34" xr:uid="{A90524C9-DDCB-43F1-85D9-6470BE6ECA1A}"/>
    <cellStyle name="Normal 4" xfId="33" xr:uid="{935F6C59-79CD-4C1C-8735-5CD6D965443F}"/>
    <cellStyle name="Normal 4 2" xfId="32" xr:uid="{2BDF8366-C8B4-4580-BC26-F3666D2B4A5E}"/>
    <cellStyle name="Normal 5" xfId="36" xr:uid="{1FF166CA-5B3F-4B48-BBFE-BBFBEFC0D3C0}"/>
    <cellStyle name="Normal 5 2" xfId="51" xr:uid="{56AA9A32-EBD4-45B7-AC65-E681F9CC8314}"/>
    <cellStyle name="Normal 5 21" xfId="54" xr:uid="{5163E6D3-AEF1-478B-A872-B03ECFBEAC2E}"/>
    <cellStyle name="Normal 6" xfId="22" xr:uid="{3E2D541A-D018-42B1-B368-0DA716C15D14}"/>
    <cellStyle name="Normal 6 2" xfId="31" xr:uid="{CB0B36D6-D0A1-4370-85BE-2FF7A232460C}"/>
    <cellStyle name="Normal 7" xfId="37" xr:uid="{D783CE17-8C76-4ADA-AA12-83C03C47D686}"/>
    <cellStyle name="Normal 72" xfId="44" xr:uid="{5AEB9D17-3713-4E1F-A4FC-185AAA38B363}"/>
    <cellStyle name="Normal 73" xfId="40" xr:uid="{7DA5A3E7-2ADA-4FBC-B982-5A87246229C0}"/>
    <cellStyle name="Normal 75 2 9" xfId="55" xr:uid="{A9A4136A-20D7-4AE4-92F0-EBB20D56BD5B}"/>
    <cellStyle name="Normal_3 SEMANAS DEL 24 AL 30 DE MARZO" xfId="50" xr:uid="{CC6E984E-BE1B-4F7B-81E2-0D7B9E5DDE7A}"/>
    <cellStyle name="Normal_CURVA S DEL 17 AL 22 DE MARZO" xfId="48" xr:uid="{EC470E52-7B3F-427E-A494-6A40C946657B}"/>
    <cellStyle name="Normal_Quantity  Jobhour Form 26wk 2" xfId="42" xr:uid="{EB75F473-8353-4F3B-A23F-FFD371E98172}"/>
    <cellStyle name="Normal_TARIFAS PROPUESTAS PARA CONGA 2" xfId="27" xr:uid="{151F6A80-B54F-4E68-A2D4-C9BA8B90D2A2}"/>
    <cellStyle name="Notas" xfId="16" xr:uid="{00000000-0005-0000-0000-000010000000}"/>
    <cellStyle name="Percent 29" xfId="43" xr:uid="{95801EB0-BEF0-4CFC-9C00-0FDF01F3F061}"/>
    <cellStyle name="Porcentaje 2" xfId="26" xr:uid="{C77C5C47-8353-43E6-83E1-3DAEA46AB776}"/>
    <cellStyle name="Porcentaje 3" xfId="47" xr:uid="{460B7A43-C7E4-4AE9-97FC-044835BE7921}"/>
    <cellStyle name="Porcentaje 3 4" xfId="46" xr:uid="{D8D620F2-155C-4D86-B681-DC81E9EADDC9}"/>
    <cellStyle name="Porcentaje 4 4" xfId="56" xr:uid="{49497003-E001-4D7B-801A-5543753088A7}"/>
    <cellStyle name="RB_Centre" xfId="17" xr:uid="{00000000-0005-0000-0000-000011000000}"/>
    <cellStyle name="Texto de advertencia" xfId="18" xr:uid="{00000000-0005-0000-0000-000012000000}"/>
  </cellStyles>
  <dxfs count="67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FFFFFF"/>
      </font>
    </dxf>
    <dxf>
      <fill>
        <patternFill>
          <bgColor theme="9" tint="-0.24994659260841701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ECE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auto="1"/>
      </font>
      <fill>
        <patternFill>
          <bgColor theme="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3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3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3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9DC3E6"/>
        </patternFill>
      </fill>
    </dxf>
    <dxf>
      <font>
        <b/>
        <i val="0"/>
      </font>
    </dxf>
    <dxf>
      <font>
        <color rgb="FFED7D31"/>
      </font>
    </dxf>
    <dxf>
      <font>
        <color rgb="FF7BA7D7"/>
      </font>
    </dxf>
    <dxf>
      <font>
        <color rgb="FFFFF0C7"/>
      </font>
      <fill>
        <patternFill patternType="solid">
          <fgColor indexed="64"/>
          <bgColor rgb="FFFFF0C7"/>
        </patternFill>
      </fill>
      <border>
        <left style="thin">
          <color rgb="FFBF8F00"/>
        </left>
        <right style="thin">
          <color rgb="FFBF8F00"/>
        </right>
        <top style="thin">
          <color rgb="FFBF8F00"/>
        </top>
        <bottom style="thin">
          <color rgb="FFBF8F00"/>
        </bottom>
      </border>
    </dxf>
    <dxf>
      <font>
        <color rgb="FFE3EDF7"/>
      </font>
      <fill>
        <patternFill patternType="solid">
          <fgColor indexed="64"/>
          <bgColor rgb="FFE3EDF7"/>
        </patternFill>
      </fill>
      <border>
        <left style="thin">
          <color rgb="FF7BA7D7"/>
        </left>
        <right style="thin">
          <color rgb="FF7BA7D7"/>
        </right>
        <top style="thin">
          <color rgb="FF7BA7D7"/>
        </top>
        <bottom style="thin">
          <color rgb="FF7BA7D7"/>
        </bottom>
      </border>
    </dxf>
    <dxf>
      <font>
        <color rgb="FFD6E4F0"/>
      </font>
      <fill>
        <patternFill patternType="solid">
          <fgColor indexed="64"/>
          <bgColor rgb="FFD6E4F0"/>
        </patternFill>
      </fill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color rgb="FFBDD7EE"/>
      </font>
      <fill>
        <patternFill patternType="solid">
          <fgColor indexed="64"/>
          <bgColor rgb="FFBDD7EE"/>
        </patternFill>
      </fill>
      <border>
        <left style="thin">
          <color rgb="FF2E75B6"/>
        </left>
        <right style="thin">
          <color rgb="FF2E75B6"/>
        </right>
        <top style="thin">
          <color rgb="FF2E75B6"/>
        </top>
        <bottom style="thin">
          <color rgb="FF2E75B6"/>
        </bottom>
      </border>
    </dxf>
    <dxf>
      <font>
        <color rgb="FFAEBEDC"/>
      </font>
      <fill>
        <patternFill patternType="solid">
          <fgColor indexed="64"/>
          <bgColor rgb="FFAEBEDC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D9D9"/>
        </patternFill>
      </fill>
    </dxf>
    <dxf>
      <font>
        <color rgb="FF833C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35.xml"/><Relationship Id="rId2" Type="http://schemas.openxmlformats.org/officeDocument/2006/relationships/worksheet" Target="worksheets/sheet38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2500" baseline="0"/>
              <a:t>PPC HISTORICO</a:t>
            </a:r>
          </a:p>
        </c:rich>
      </c:tx>
      <c:layout>
        <c:manualLayout>
          <c:xMode val="edge"/>
          <c:yMode val="edge"/>
          <c:x val="0.4409751229224881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2042454223114568E-2"/>
          <c:y val="0.10230506555680942"/>
          <c:w val="0.93850934320581736"/>
          <c:h val="0.82334234505737347"/>
        </c:manualLayout>
      </c:layout>
      <c:lineChart>
        <c:grouping val="standard"/>
        <c:varyColors val="0"/>
        <c:ser>
          <c:idx val="0"/>
          <c:order val="0"/>
          <c:spPr>
            <a:ln w="57150" cap="rnd" cmpd="sng" algn="ctr">
              <a:solidFill>
                <a:srgbClr val="00B050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dLbls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F0-46CB-BAB0-ED83CB5D0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'PPC ANALISIS'!$B$10:$B$21</c:f>
              <c:numCache>
                <c:formatCode>General</c:formatCode>
                <c:ptCount val="6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</c:numCache>
            </c:numRef>
          </c:cat>
          <c:val>
            <c:numRef>
              <c:f>'PPC ANALISIS'!$C$10:$C$21</c:f>
              <c:numCache>
                <c:formatCode>0.00%;;\-</c:formatCode>
                <c:ptCount val="6"/>
                <c:pt idx="0">
                  <c:v>0.55555555555555558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0-46CB-BAB0-ED83CB5D09F9}"/>
            </c:ext>
          </c:extLst>
        </c:ser>
        <c:ser>
          <c:idx val="1"/>
          <c:order val="1"/>
          <c:spPr>
            <a:ln w="38100" cap="rnd" cmpd="sng" algn="ctr">
              <a:solidFill>
                <a:schemeClr val="accent1">
                  <a:tint val="77000"/>
                  <a:shade val="95000"/>
                  <a:satMod val="105000"/>
                </a:schemeClr>
              </a:solidFill>
              <a:prstDash val="dash"/>
              <a:round/>
            </a:ln>
            <a:effectLst/>
          </c:spPr>
          <c:marker>
            <c:spPr>
              <a:solidFill>
                <a:schemeClr val="accent1">
                  <a:tint val="77000"/>
                </a:schemeClr>
              </a:solidFill>
              <a:ln w="9525" cap="flat" cmpd="sng" algn="ctr">
                <a:solidFill>
                  <a:schemeClr val="accent1">
                    <a:tint val="77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numRef>
              <c:f>'PPC ANALISIS'!$B$10:$B$21</c:f>
              <c:numCache>
                <c:formatCode>General</c:formatCode>
                <c:ptCount val="6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</c:numCache>
            </c:numRef>
          </c:cat>
          <c:val>
            <c:numRef>
              <c:f>'PPC ANALISIS'!$D$10:$D$21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F0-46CB-BAB0-ED83CB5D0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348656"/>
        <c:axId val="1"/>
      </c:lineChart>
      <c:catAx>
        <c:axId val="18843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Algn val="ctr"/>
        <c:lblOffset val="50"/>
        <c:tickLbl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;;\-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434865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5042242871400742"/>
          <c:y val="0.69562039599222525"/>
          <c:w val="0.14957752589925422"/>
          <c:h val="0.2104037889030393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ACTIVIDADES</a:t>
            </a:r>
            <a:r>
              <a:rPr lang="es-PE" b="1" baseline="0"/>
              <a:t> DE LA SEMANA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30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F0-4EC4-A559-5B2DCA8CA0A0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F0-4EC4-A559-5B2DCA8CA0A0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F0-4EC4-A559-5B2DCA8CA0A0}"/>
              </c:ext>
            </c:extLst>
          </c:dPt>
          <c:dLbls>
            <c:dLbl>
              <c:idx val="0"/>
              <c:layout>
                <c:manualLayout>
                  <c:x val="1.5636765620244245E-2"/>
                  <c:y val="-0.260092697585399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F0-4EC4-A559-5B2DCA8CA0A0}"/>
                </c:ext>
              </c:extLst>
            </c:dLbl>
            <c:dLbl>
              <c:idx val="1"/>
              <c:layout>
                <c:manualLayout>
                  <c:x val="2.5826961551083761E-2"/>
                  <c:y val="0.134373851706406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F0-4EC4-A559-5B2DCA8CA0A0}"/>
                </c:ext>
              </c:extLst>
            </c:dLbl>
            <c:dLbl>
              <c:idx val="2"/>
              <c:layout>
                <c:manualLayout>
                  <c:x val="2.7864457055160947E-2"/>
                  <c:y val="-0.503392298796419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F0-4EC4-A559-5B2DCA8CA0A0}"/>
                </c:ext>
              </c:extLst>
            </c:dLbl>
            <c:dLbl>
              <c:idx val="3"/>
              <c:layout>
                <c:manualLayout>
                  <c:x val="2.5704074209252758E-3"/>
                  <c:y val="-3.75494693598082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F0-4EC4-A559-5B2DCA8CA0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15875" cap="flat" cmpd="sng" algn="ctr">
                  <a:solidFill>
                    <a:schemeClr val="bg1">
                      <a:lumMod val="50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'PPC ANALISIS'!$B$32:$C$34</c:f>
              <c:strCache>
                <c:ptCount val="3"/>
                <c:pt idx="0">
                  <c:v>Actividades ejecutadas programadas</c:v>
                </c:pt>
                <c:pt idx="1">
                  <c:v>Actividades no ejecutadas</c:v>
                </c:pt>
                <c:pt idx="2">
                  <c:v>Actividades ejecutadas no programadas </c:v>
                </c:pt>
              </c:strCache>
            </c:strRef>
          </c:cat>
          <c:val>
            <c:numRef>
              <c:f>'PPC ANALISIS'!$D$32:$D$34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F0-4EC4-A559-5B2DCA8C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image" Target="../media/image8.png"/><Relationship Id="rId4" Type="http://schemas.openxmlformats.org/officeDocument/2006/relationships/chart" Target="../charts/chart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79</xdr:row>
      <xdr:rowOff>0</xdr:rowOff>
    </xdr:from>
    <xdr:ext cx="304800" cy="304800"/>
    <xdr:sp macro="" textlink="">
      <xdr:nvSpPr>
        <xdr:cNvPr id="2" name="AutoShape 2" descr="data:image/png;base64,iVBORw0KGgoAAAANSUhEUgAABDoAAAMhCAYAAAAJm9FvAAAAAXNSR0IArs4c6QAAIABJREFUeF7snQWcVFX7x383JrdpkC4JpVWwFRNRMFBEMQkJAQlpkFJKQhSUlBDsQkUMEJEOUUo6pdnenbrxfp5zd5bd2Tu7M8MuAu8579+/wJx77jnfc+/K+c3z/B5B13UdvHECnAAnwAlwApwAJ8AJcAKcACfACXACnAAncAUT+PfffyHLMgQudFzBu8inzglwApwAJ8AJcAKcACfACXACnAAnwAlwAozAwYMH4XQ6udDBnwdOgBPgBDgBToAT4AQ4AU6AE+AEOAFOgBO48gns2bMHUVFRXOi48reSr4AT4AQ4AU6AE+AEOAFOgBPgBDgBToAT4AR27dqFmJgYLnTwR4ET4AQ4AU6AE+AEOAFOgBPgBDgBToAT4ASufAI7duxAbGwsFzqu/K3kK+AEOAFOgBPgBDgBToAT4AQ4AU6AE+AEOAEudPBngBPgBDgBToAT4AQ4AU6AE+AEOAFOgBPgBK4aAlzouGq2ki+EE+AEOAFOgBPgBDgBToAT4AQ4AU6AE+AEuNDBnwFOgBPgBDgBToAT4AQ4AU6AE+AEOAFOgBO4aghwoeOq2Uq+EE6AE+AEOAFOgBPgBDgBToAT4AQ4AU6AE+BCB38GOAFOgBPgBDgBToAT4AQ4AU6AE+AEOAFO4KohwIWOq2Yr+UI4AU6AE+AEOAFOgBPgBDgBToAT4AQ4AU6ACx38GeAEOAFOgBPgBDgBToAT4AQ4AU6AE7iyCOg6lEOHkTHqLfh27oblxiaIGfQ6xHJlr6x18NkWCYGIhA4fEiEiBoAFuq5BElQAOgRYofsAQQJ8Yhp0LRqyKADQIECDpvkgwgIBMnTd6McbJ8AJcAKcACfACXACnAAnwAlwApwAJxAyAV2Hb/MWpL85Aeqx48ZlggBL44aIGT0cYokSIQ/FO16dBCISOry6BkHwgnQKTZcgaCReUNMhioCmadAlN5M+ADdE2ADdBgESdE2HrgGSrACC9eqkylfFCXACnAAnwAlwApwAJ8AJcAKcACdQJASUf/Yi9fVB0E6czDO+VKoU4pbMhxgXWyT35oNeGQQiEjoofkOAziI13G4P7DYndE2DJInITNcgiyK2btGwasVWbF6/F//sOIHUtGOYvagX7m1ZCV5vMqzWaABc6LgyHhM+S06AE+AEOAFOgBPgBDgBToAT4AT+YwIUyfHXdmSMGcfSVoI1S/16iB42EFKliv/xhPnt/ysCEQkdPhWgjBQdhuShekUc3gtMnfgptv91AGfPnka6ywevkoaEBBGVKldAXLwVA4e8hHoNr4EIlaWtCCLPXfmvNp7flxPgBDgBToAT4AQ4AU6AE+AEOIErhkBWukrayLegnTyV/7RFAXLNGoibMQ1CDH3Bztv/G4HIhA5FhSRIcGcAS7/eg3mzvsX2v/YhJsaBu+5pgrvvbYZK1YqjSrUExMQBssyCP1gjgYSlt5BYYvl/w83XywlwApwAJ8AJcAKcACfACXACnAAnEA4BXdeh7tmLtCEjoB4+EvKlYoXyiJ0yAXLFCszDg7f/HwIRCR2q5sXuv9zo0XkS/tl9DDc0rY3HnrwDLVvdgOgYIDkZ2LcnA0ePHMGZU6dw8mQi0tPO4YUOD6LJTZUMPw/KfOEBHf8/TxpfKSfACXACnAAnwAlwApwAJ8AJcALhEqBIji1bkT5uEtR80lVMhxUEyHVqI/atkbwaS7jcr/D+EQkdXl8yvvnkIGa88zUGDH4Fd95XDseOp2Hj2iNYsmg5tmzdCk2Jgs1mRXxcNGKi4mC1ezDojXa4+74aEEQd0ERAvMLp8elzApwAJ8AJcAKcACfACXACnAAnwAkUGQFl5y6kDRgKtaB0lXxmIBYvhvjPl0DkaSxFtk+X28ARCR26no5zJyUUS3Bg7x4vuncbhD07U2GRykC26nj4sSZo36EpatcqDVUF7HawcrKqpsJmk4xoDnh51ZXL7Wng8+EEOAFOgBPgBDgBToAT4AQ4AU7gciBAkRw7diLjzfFQ9h246BnJNaojetQwyNWrXfRYfIDLn0BkQocK7N2Zic4vjsX+vYmIi49F115t0aJ1PZQtD4gyoKvAnt3p2PHXLuzetQeJiSfw7HOP4KZmtaFrHoiyD4JwuRnDMAUmq/Ecrsv/8eUz5AQ4AU6AE+AEOAFOgBPgBDiBq5GAb+ufSBswDFpiYuEsj9JYqlRC7IezIDqdhTMmH+WyJRCR0KEiE18sPIxxYxZhyMjncHvzKrBYRfyyfBOWffM39u5OxLFDElwuF2TBAvL0iIl3YfJ7XfDAI1WgwwVJtrOKLZdPI5GDqshQo3nRPzy35vLZHz4TToAT4AQ4AU6AE+AEOAFOgBP4fyDg2/Y30kePDct4NFQuYmwMYud8wEQP3q5eAhEKHYk4dDAVJUuUx/ZtB/HNJ3vx3Rf7kZKoonyFEmh8czzqNo5F/SalUe4aB8qUKQWHPYqFeXi9LthtUdBVAQJVY7lsml/o8IscNDEudFw228MnwglwApwAJ8AJcAKcACfACXACVz0B78bNyBg7AerR40W2VqlaFcSOHQ2pSuUiuwcf+L8lEJHQoSAJ/x6MRp8un2Lzhj2IL6HhlrvKo0PXe1G33jUQBAFJiQoSE1OReMaN5EQvUpITcVfz+ihZRoYkidAUmaW4XD6NhA6qgZszyoQLHZfP/vCZcAKcACfACXACnAAnwAlwApzA1UqASsgqW7ch7fXB0FJSinyZQmwMEpZ+CTGKp7EUOez/4AYRCR1kMPrdF4fwet9RGDqiK558ugk8HiDxHPDD1zsxd9a3OHnqDHRdgwgLJFmHzZGM2QsG4da7KkPXMyDCaZh5XDaNhI6cHh3+ieWM8LhsJssnwglwApwAJ8AJcAKcACfACXACnMBVQ4A8OdLfmgD10JFLtiapbBlEjx0NS93al+ye/EaXhkBEQodX8SEj1QKrDCSeBaZO+hrLlm5GeooOn5qCSjWsuPv++mj96MMof00xWC2AIAJRsR5YrG4IugW65iw0nYPUP4oi8Tf6fWDL+Tl95u8T/Doak3rm9hGhoSO9V845Bc4n0u0OXGthjRvpfPh1nAAnwAlwApwAJ8AJcAKcACfACYRDwLdpC9IGDoOWnHzhMlGEWLY0LI0bQ65bC2J8AgSrDC0lDZ6ff4Fvw2ZAUS70FwRI1atBLF0q6K3VY8ehHTl64dwIQLqmHGJnvgc5n+vCWQvve3kQiEjo8KgZOLLfgz7dPsA/O8/B5TmLVo/dgcceb4nqNUujXAVA0Y3KK2dPAMeOZOLMmUO4t0VdRMd6oGs6RNgBqXAgBIoWhSt05J6jrgtc6CicbeOjcAKcACfACXACnAAnwAlwApzA/zkB77oNyBgzDuqp07lIyE0aIW76VAhiXjsBOu9pJ04gbeBwKLt2G9dZLIge2Bf2R1oGJaocOYbkJ58BKEUhRxOLJSB2+lReevYqehYjEjpUuLD08z14a9Q8tH2qLZ5o2wxlrgGOHtax5vdt2LJ5F/buPYWjR48i6Vwai4wQ5STsO/wVZLsbsgSoPiska+F4YJgJG4F7FEqkw4VAECMixIjo8EeH0L/zVmIJR1TJOadQ5hPKc8YjOkKhxPtwApwAJ8AJcAKcACfACXACnMDlRsC7fgPS35wA7cTJPFMjoSN+xjv+Q5np1NVz55DyXAdoZ86GJHRQREfSE+3yCB00uFSpIqJHDYOlDk9judyek0jmE5HQ4VPdSDxrRYxTxNHDwO+//YmPl3yJv7cdQExMNMpXKIPy19RC1ZrF0LBRdVSoWAIlSzlQuZoNipoKSZQhieTREcmU816T87AfmMbi752fsHDhen+aSqDQ4ffvoAlfmHQwgSVYmgwXOgpnv/konAAnwAlwApwAJ8AJcAKcACdwBRPQdXjXrWfGo7rbY7qQQKEjdfAweFeuhuXmZoib+KZxjaYhfeIUuD/9Io/QoSUmImP2vFxj6+kZ8C77iXwMTO8pliyB+E8WgUrQ8nZlE4hI6PCoHpw46kLXlyZh26ZkREc7Uaa8DS93fAKPPHY9ouMAQQIyMgAoQGY6YLMD8cUASdIAjYwuJOhilgOGP1jCz5I9d8wMIyueQoPxK+lCgEWWJmE8o5QnQ/8nsGdWzGmrIRgiBUVn0OdgqSfUmf4xJqAJGjT6NYvi0Nif0/1yjZM1Ax00F+qrQNdkdn3u6dO8dQg0hqDRKNDYJAUWD+KfWg5LkSBPUE5xhXLPJLC0GTZJ48XUdJpl1tp0mpdkzD9LjPHPK7fLyJX9wPLZcwKcQF4CLrcXfQctxKx5v4aEp2KFEqh3XSXceVsdtHqoCej3+YnBYyZ8hRFvfhbS2MUSotGkUVU0u+latG7ZBLWvLQ8x9w/TAsfRNB279xzH199txuo1u7Fpy36kpbsRE21H/esr45am1+Keu6/HjU2qw2G3Fjjef9Uh2L789uMbuPmmmoU6rZOnk/HSK9Px6287ssetVfMafDy/J+rUKh/xvQprL8J9RhvUq4ya1cvijlvr4MH7GuCacsXyfUaDLVBVNYwe9wXoGc7ZPninE15sf2fIXIK9A/RMLv18QFj7mZHpQc9+87Bg8e957k/v5eK5PVCzRtmQ5zZv4W/o3GNmrv6D+z2KIf0fZ1XuQmlrN+zFnQ+8EUpX0Dte77qKuKlJjYjfQ3oe/lj7D5b+sAXrN+3Dtr8Ps3vn/Nl0X/N6qFm9XNg/P/yLKKy9DwkK78QJcAJhE/CuWYeMt6fkW0I2j9Dx+iB4V6wC7HYU/+k7CE4HO9NlzluAzOkz8wgd6uEjRvRGmE0sUxoxb46A5frr8o0mCXNY3v0SE4hI6PAiFT9/ewavvDwGb4zsh4da10F8cUNv2LMrFYsXf4rff1uDc6etgFIcXrcHdz1QAdPm9YJoARwiIHpVqFaJCSH032E6ntP5XCBjUSYMkGAAqAKJDgpE6qg6DKXAL3KQyEAXasCRwx6s/HUNduzcDq/XjZIly+C2225G02Y14IgiM1QdikZVYCSIogLdp0AQ7Gwsl6pi67Z/ceaMB2kZB5HgrIi6dUuhSpXi2cKEToIIu5UCQZORnpqEPbtcOHTkXwgykBAfg8aNrkVCcQFqVp/M9FT8ve0Mjhw7CclqR/H4YmhQrypKlhICPU7zbLsOyhvLEneQCSAKqmbYmuiCF5pixc5dp7H/0HH4vBlw2KyoXfN6VK/tYOKK16dCtkhs/pdTbZtL/Hzz23EC/xcEwj1EBkJ5tu1tGD7wCVSqWNKUVzhCR+AAD93fEMMGPgE6uBaUskdRcnTgGfnW5/h++Z8F7t11dSpg2IAn8MhDTSI+DBV4k4vocCmFjhWrdqDNs5OYIJSzTRjzLHp2bRH2Kgp7Ly7mGSUx4ZUO96JXt4dQskRsWGsxE4BogMda3YQP3umIuNjQSgrm9w6EKyps33kUTz0/BfsPnMqzlnCFjmCiSbMba2Lh7O5MOAilhSN0BI5HwuaooW1x1+11C3wPPR4fvlq6EaPHf4m9+/KGqQeO3arlDRg97ClcW6NcKMvI1aew9j7sG/MLOAFOICQCife2hJaUlG/foEKH1YpiPy2FGB1dJEIHTcp6282IGTEMVIKWtyuTQGRChwakpbpht9tx+tR5LFn4I3776QhOHLbi3Gk3rHYVNao60KRpTdRvWhkJJZ0oXS0e8jWx+HHTOpQr4USrevVhUW0QPQpsVgsoOMLHGOqQ6aiu69BZ5IIKQbNBIJlBEyk6CYqeCdkmIjNTwJSJ3+PLT7bjxCE7VFWFJFn8wSCg6AuKLqlSQ8XbkzujVr3irPqLrqfDKtmZbKGpPhw9JqNZkwHQPNWhqImwSQ7Urp+MX1aNZiIGi96AygQERZcobgKfLFiF/t1WwueLg6LpsNjS8cabLfBit/oQyYPEK2DR3F8xqv86uDwOCEIUBNHo83LX+pAt+T8wF4Kp6FcUzmXPihyhKBEX/tyQiYeaTwT0CvApZ+GQYxAVJWD97j6ILU4IaM4eJuxIZPzKGyfACVy1BC7mEOmHQt8gvzfpZdx+S+08gsTFCB00Pn0DPGX883jysZuDHoToYP3ZV+vRo+88JCalh7VXA3q3Qv8+rRHltIV1XVF3vlRCh9erYPCIjzF1+g95lkQHxZnTOiEhPirk5RbFXhTGM0pRMDOndQ4r2uG7ZVvwWLu386y9bOl4fP5RH9zQuFpIXPJ7B5rfeR3mvt8VNGYojSKvuvWeY9o1XKFj67ZDeLTtBNChPrB9uuA1tH74hlCmhIsROugGJEYN6vcYenZ9EDIZsZk0EmWGjfoE097/MaQ5+TuRWDNxTHu0atmkQLE058CFtfdhTZZ35gQ4gZAJeJb/Au3s2Vz9tcQkuBYtYeko1AKFjrShI+Bdsx5yg+sR+/Y49jNB1zRkjHsb7i++zpu64nJB2bY9+x56ZgZc8xZC+WdP9p8JUVFwtHsKQlQO4VsHpOpVYbmxCQSpkKpnhEyGdywsAhEJHT4o2Lf7PPq/ugQ7NonQNSsaNS2O2+8rhXqNSqF+w5qIj6EDNtMp4FEAt5SKGIsC3WvBD8eP41vvOTSJdeKxio1RwkdlaRUIdgtLEJE1Q+TwCoCVhA6dUlYo/JKiHFRogojj/7rR6aVJ+HuLF4qruJHOIejwuZywWJzwqUmQLRS1QcqGB9FRZzFo9FN4ofMNEJAOUbOyMrd0zaEDFtzceCQUzQHVp8EuOVG93n6sWjcZgkDfjpHIIDKhQYMPAjKweO4mDHp1CzREwatqkCUXho2+G5161YemyxBFHxZ8sBqDXl0HTbJClKMALQOjJ9yLl7peBwEF/IXcr3Rkpd7ougiVwlcElb3Uw/ssw+zpOynOBYKYCTsqQtWSMXxSDXTo3AqC6IOqK5AEC0Qe01FY7wsfhxO4LAkUxiGSFkapDh/NfRXX162Ya50XK3T4D0Ifz++Fe++ul4chHaw/+WItur02J09EQqjAxwx/Gq91bxH0kBXqOIXZ71IJHYePnMWzHaZh4+b9eaYf7oG+qPaisJ5REm6mT345pMgOih4YOHwJ3v3A/GA9fjRFuzwY0uG5oHfghy8H4p67ri/w8UlJzUTnHrPw5TcbTPuGI3TQXk2dvgyvD1lkOlb3zg/grRFPw2Yr4JsV4KKFDv87PmNqRzz5WLM88yGRY+CwxXh/zs8FMjLrQGLH3BldmBAbSivMvQ/lfrwPJ8AJFA4B7egxJLa5UBElUOhQ9h+AnpYGqWpViHFGhJ96/jySn3kR+rnzBZuRahrSRo+F59vvsycsliiOhI8+hFC8WOEsgo9y2RCISOigw/Xyb45g+rSFuK/FTXiqXXMUKyEiOUnFnt1HcOjgOfy5/Rz2/+3C/n0ncTZ5B2bTX3AfrAlJokgDGT5Nw+Zd21GtUmUUc0YhWiSRgxItyGRDhyYy9wlIGuWzuIx8FYGEDhHnz9vR5tEx2L5VhgAKX0iCqoqwyBQLIkAURWgqCQKA1+eGzWqFTbDDpR3ExPcfwdPPNoJMh3/FKHF75KCO224ahszMOEC1MaGj6vW7sGr9RAhCVjSFYQPCBEZZBBbMXosBPVZBE23QRQXQUzF89CPo0vNG+BQVFknC/Fl/YPBrv0ERJKiaCEn0YuRbD6Nj9wYwqZIU5KHwe26obAwf1e1VRdzdbBSOHXYg3aXAKlOKkIUJHo1uFvHt8n4QZRW6KkCiG3GTjsvmheMT4QSKgkCwQ+SMKR3Q+uEbc93S7fZix+5jWLRkNRMXAttz7W7H1Akv5oqOMDvkURRFz24P5bpcUVT8s/dffPXtRixc8nse0SLYN98Uwv/CK9PzHNQpEqTTi81x+611YLFIoJx7+gZ78ad/YMeuY7nuTQf6D2d2Y+Hzl0u7VELHks/W4PlO7wVddjipFUW1F8FYLP28P5o0zB1Vcfzf8/h7xxHMmP0TNm89mGddoUYqUGpEu5feYWOZtXAiMQoSOvq/1gpvDG5ToCdGfhEYNMdwhI5z59PwYufpWP7rX6brC8ejxSyi4/ln7sCIwW1gs13wwaGfH3v2ncC33282fceDRRB9+uU6dOk5K8/PBEp7ef6ZO1GrppGaQoLI8p//Yj+bAiO7WtzXEO9P64gypQqOnCnMvb9cfp7weXAC/w8EChI6AhlQBEhKlx5QD2T9tyKwvKymQXfnSOkk49Lxk+D5YTkXOv4PHqiIhA6PngZRj0FqEpB4Fvhj1U7MnfUtDu1PgiiIkK0eRDvtKF1ORKW6TlSsGou27Z/BxuNHcULPwB3XVcdNVic0IQYK+XVIWfaZqhGVoYtZJpskWngFZmwKKRXQYqBpAoYP/h4zp2+Ehnioqg5Z8cFqtSCh7Encfk9VxMXZsXP7v9i+OQPejJLweVXougzZKsERfw5/7h6J2GjSVBR286OHBDRt0huKUgq6QjKME7UaHMWKNW9nCR0WFtFBUgeFR4kQsXjBavTttgKqHgdV1yHJqXhjdAt06XkDNN0LETbMm/kzhvT5HaoQC0WhSjMZGD3uYXTsVj8E8cFI22FNJ9NTF1xeFbLsxLb1QOsH+kNRoiHI0RC1GLjdiXA6JEiSD5v+GYTiJY150ijElzdOgBO4egkEO0TOn9kNT7e5xXThJEpMfvcHDB6xJI9g8NXH/dCoQZXsPzc75A0f1AZ0gDZr+UUFfLm4D1o+2Dj7MpoHeXKMnfRNrqHIaJQ8FOrWrpDnFuRDMWj4Ynww95dcn5mJNP/lrl8KoSM/Y0v/2kM90BflXkTC4sTJRLzadx4zrMzZOr7YHBPfbF+gEa2ZSWfOcSjd4rNFvXH3HdcV+JgUJHSE4olRUAQGTSIcoSOYL0vOxYRqumomdOTHmUxqP/58DV7tMzeXeGFmzkr7+ELn6fht9a5cnDu/dA/eHNGOpb0Etp27j7HIl8AopVDXU5h7X+DDwTtwApxAoREoSOjw7djFqqFIFY2/G/j+3o6UTt0Bhb6GR14z0hMnkdpnQK75aafPQE9Nzf4zHtFRaNt32Q0UkdChwIcNf5zGc23GQ1eKIy3jBEqX1/Dk0/ejzZOtULmKBVYZLGpB9QIs4EACXAJw1uvF0rWrcSQ1GU/cfwfq2Eog1quy/Cct60Au6BpLXSHPDjs770vQxHMQxQScOymhacOhSEmJh2SnKAcPkKaiz5B78NrAW2G1G5EXHo+GxFMibr+xFzR3ZaS60yHLxeDzpePhJ2Iwc3YX2JwUiWGkrtzUqDeA8tBVjyF01D+NFX+8aYgsWbagbGSVzHcVLF64Bn26/gYVMVB1AbKYkSV0NGYGqRRNMm/WrxjcZxVUIQqqKkMSXBg97iF07N4wtAdBp5tRFRhKsclk0SqZHh1d2n+BH785Ckl2MpNVSZKgeh3QhFToioBnOhfH+EnPs6oxrNoBj+gIjTfvxQlcoQQiETpoqUnJGej06kx8892mXCsnrw465PhbuEIHXRcsdDzwm+9d/xxH2+enskgQfwslOsMsXaN6tTL4ZH6vPKk3/9W2RnK4D3euZvzI+NVfxcI/XqDAZHafotyLSFl8vXQTnnxucq7pUjWO+TO7o3gx+sbCvJkJQORDk5bqyuVnQUatY4a3hZX+0pJPC3wH6HDucFhx5uyFvywXxNjsfaNnPae/RqhCh1lFERorJtaRy+QzVNPVcIWO/H5+BAqsZqJDKNEZZnv/zFO34Z2JL5qKI/7tK+y9D/ed5P05AU4gcgIFCR1pg9+ALomIGdwfgs3GvoDOnLcQrhlZlacCIjpCqbrChY7I9+tyvzJCoQNYsfwfTJsyHz16vIradcshgTJIdCD5PLB+zWms3LAW+/clI/PceRRLOI/Pvn0LIJ9QwQdFsOCwx41dh3ailE/GrddeB0HTIdJfNFj2CtmIqvCJgKypkAQbO8QLsGDym1sxfvRK+FQnZLsORU/D3U2rYdHX7SHb3RBgZWVYydpUECzYtiEND987CgqKQ9VskCUdMbFJ+HPHKDijfBBlCw4fBG65YSB8SjHoqi+H0PEWMy+lRkMyvUD1MfFhyYKN6N11FRTRBlVXmdAxgkV0NAE0Eigs+PCD3zGo72ooooWl1kiCB2PGtUTHbiR0FKA+ZLuRUlSHBAheKLoKxetAo2uHIuVsSSg+FZp4Cgs/GYf2bd6GZCU/ExHxpc5g047xcDpIGhGy13C5P4x8fpwAJxAZgUiFDrpbKCJGKH3MZm6WUhH4LbFZn1AiM4IZcH4051W0MfEIiIzsxV0V6eE+nLuSAWm/wRc8GuiwO37Ms5g+8yes27g3e6hQ/BqKci8iZUFpEk+/MDVXqhJFG300pweqVS0dFJVZisiIIU/i/Pk0vDNjWfZ1FDm0aParqFzJvOKQv2PgO0BRIFUql8Kc+StCZrxpywE88czb2cIG3bv2tddg/kersscIVeg4euwc2nd4N88ely4dh6EjP8keL1SPlkiEDopQGT3uS4wa90WufRg17CmQoEkt2L6HEplhtsb/Yu/DeR95X06AE7g4AgUJHamvD4Jv42bEzXkfcrWq7GZaaiqSnn4e+ukzeSM6jh5D8nMdck9KUXKls3Ch4+L27HK+OiKhw0eBDV6jrOua389g4/rd2LJpJ44eOYZ//z0FQbDC4lRQsXpdVKlUCs3vqohW7W7HklXfoXSta1CnXE1UEaKQqatwQoKFmV+QvW2WRwfz6TDKuarkMyEphiygW/DQnVPx1xYNPqrAQhELllR8+GF73P9IZSPgQndBlsmjg+W7wOcW0KBOR5w/W5OVhpVEATZZw69/9MS1dchdV8CBfUCzJv0AgVJXNMi6E7UaUurKBBa9QQVaaYpsDuSRIZLQsQa9u5H/hoOZhBoRHS3RtccNgEYpMSR0rMCgvr9DkWxQFAmy4MHosQ+jU/cGBT8TWRV2WUeRSAhQNAEbV6fhqdYT4HMnsNq6xUqlYt22EWjWcDwSz7HOEEUXvl3RGQ0alWJ+IgVpKgVPhvfgBDiBy5mVxFSiAAAgAElEQVTAxQgdZhUgAtNSIhU6flm5HS0eeysXupxCRzCxIjCiJBj7UOb+X+5bpIf7UOdsFiFA3+ATvynvfo9xky+kAxV0gC7qvYiUhZnXwh231sGCWd1QtkyCKSqzFBE68FNKFvk+BD6T+aV4+W8Q+A4Qz1dfeYBVEfFHZOQnmtCc3nr7a7wx5rPsOZP4RJWCwtkn/8Vm0Q4UUUIlogNL15J3yMA+rfM1XY1E6KC5mP1syPn+mokVoUZeUYoaVWH66JPVufb5tx/fAFXgMWtFsfehvo+8HyfACVw8gVCEDu+KVbA+cB9iRw83bki+G9NmwL1wcR6hg/w5lF3/5JqYnplppLOohkUAFzouft9CGUFLSYX6zx7olGYkSbDUvx6CwxHKpRH3iUjo8Ko+bFhzGM+1HQZPZgycTieuu64KatSqhEaN66J+g2qoUk1kURA2Sr0UVbih4xR8WH9gO47u/xfXxlRC1brlcE18CcRChtUvdpCaQKWCBCMFhakdYjoEViXFioa1RuDEcRsgyobBp+UsNv3dD+UrFGPpIho80DQSNJzQNYGlbwwZuABzZiRB0dJgke3QPBrGTW2GFzvcDE1XcfSwFTc3GQpFiYOu+yBqNtRtfAa/rB7LhA6B+XOQbwiYwSdFeSz+8Hf067ECPs0BcsOQRTfeGNUSXXo0NCYuAB/O+tkQOoSYrIgOtyF0hOLRkUvooCQeCxQNePjuKfhrixuqaoEoaahZR8ePv7+Otq3fxsZVVmiCi6Qj3HafjiWf9Tb8OZiJa87GTTsifmP4hZzAZUggUqGDwt/p4JXzoEXLKyyhw0yIyCl00EGdzBR/+OnPXFR//X4Ybru51mVIOrwpRXq4D/UudDh9+ImxuTwSJoyhSiItYCYy5fctelHvRaQszNZIaQ/zPugatGSumUmnP4UjM9OD5zq+h1V/XPCLCCWCyEzoeHfSS3j7ne9ypX4FM0o1mxMJE3/tOIoRb14QPwoSpOjZMGPp9whJSIjOIw6E4tESidARbE9zRlVt2LwfLR59M9czSvNZMKt7SJVzQn0X/P2KYu/DnQPvzwlwApETCFXoEOx2JPzwFcRYo/KKZ8VvSH9jDHSfD9ED+8L+SMugk6CD9vlbm2f7enChI/L9CufKzI8/Q+bkaUxgEhPiETd7BqRKuav8hTNeKH0jEjoUuLDx9/OYMe1rdO3WCQ0aWyFZgfRUIDkJcGUCe/YcwN+bt+Pwyd0YMak7ipeywaKTT4WINOg4qfiwbN1yxMKCNrfdD4dOpWQNdYMiNfxCh6jrEFnaihWeDAfqVB+A9PRYkHkGZZE4o89i3/FRkCQrJFmAquisMgo59BtKCfDL8j1o9/hS6JIbom6DpEbhyfZ2TJ3xAnTRhWOHotC0wQhoiIaOTEC1oFrdRPy2dnyWUSpFdRhVYHRBZMLHotlr0P/VX6EJVuiQIEtuDB/1IDr3aMjmT8V1581ajsG91xpmpCpVa8nE6LEtQ/booHWQUKNomZBFJ06cOo/GNcfC5y0Fi90KRT+HV/vcij6Dbsei2SsxrOdB6NZ0eN067I5j2PTnNFSoRjk3NH/DTNVoBZeaC+Xh4X04AU7g8iAQqdBBvhjPvvxunqoUgekfkUR0nDqTjFdenZVHxMgZ1n7yVFKeQ6f/m/ecZqiXB+XwZxHp4T6UOwXzaPAbyZqxzc/foKj3IhIW5LXQd9DCXOkhxKagKjJmJp1+AchM3AslwsBM6Fg8tweW/fxnrtShYAaegXPyR6XMXfhb2EKHmZdKTq8RM4GxoPK3kQgdK3/fiRc6vZfLYySw0ouZ4Baqb0go70Fgn6LY+0jmwa/hBDiByAgECh3StTUQO3GsYfwIIP3NcfCtWc9+7XilA+wtW7AvyLVz55E2aBi0U6fh7PQSbC0fDB7SripIerQtj+iIbIsiukpPT0dSuxegnTgJwelE9Ouvwfrg/cyjsyhbxEKHqDqYMefGDeewaNESrPhlExLPaLBZqBKKCodQGkkZKUB8MrYdmYef1nyNMmWroH7d+ohiQoAPKiyggBVR0yEJAhRVgy4ZkRMU2EEih0RVWUB5MgJSzttQu1ofaGoZqJoOQZdRroILW//pxwQBo5FHB9l8aMyok0SJU/8KqFfzbeiiB4Jmg6g60ajZcfzwyxhA8uDIQRtuqjcMEOIAwcOqmFStk4qVqwez94oFmdCYAuAhwUIAlszfjde6fAPJaoUuaJClTAwf9QA69WxklMW9SKGDHM1J6GD7L6jQFBk/LzuEl9p+CkWNAiQvRPtRbPxzCsqU9yD1vIDGNabD5fVBlqPg9ZzCzHnt8cgT1SFZjNQXo4ks8oU3ToATuHoIhCt0pKRmYs36PRg97os85TvNwu/DETpoLlQSdNI7S/H98tyRGoF+AWZpCaF8o32l7Fwkh/tQ10bpEi+9Mh2//rYj+5KcB0izA31+fg1FvRfhsDDKFJ/ApGnfYdHHudMWCvKcKEgAIlhmh+/xoykS5sGg6R2B74BfHKHxcqaKmJV0NZsTiTWv926FYaM+Bfms+Fsoz7+ZuWdOI9TtO4/mSV8pyKMlHKGDon+ovOyEqd/mMj6lNQTeJxSfnlCf+YL6FdXeF3Rf/jknwAkUHoFAoYMOYkJMTPYNKO0EPop0pyOfNUfqgw49PYOJFxTtAZst30npKSnZn/OIjsLbv2AjZb4/G5lzPmQfRw/qZ0TcFLHIQfeKSOhQkYY1KxPx7ONjWNUVQdBxfYNKuLN5PdRvfA0qVI5CQqwMISoOjigfomxpSFF92JUqYdOxFOzdsxs3VimHe5vUR7wmwyZSGVkVEikJogCViXZG9IEgGYVdVcWLtCQHrq3SG7pejmW0WEQbatYW8duGrtDhgSCI0DUjzYTSS8iJV9fJp0NEpdKToAleCKoNgupA9Tq7sWbTVEBUcOSQjKYNhkNVi0GHG/AVB6QjsNlUCCqVb3UAOikuCkSrD4p6DpJkgyejGlQpFZroZakrw0c9zCI6dEG9aKHDKC2rMAr0H29JdOCx+z/EH7+mQrTI0CUPatXT8OOvfcDSm3Sg1b3zsX7dGehwwGGTUanGKfy29g2Ikj+Sw4iY8RusFv1jze/ACXACl4JAsENkJPd++63n0L3z/bkOfAWV1gz1Pq91fwgjhzwJm82IKivqw3Wo8yqqfuEc7sOdw3fLtuCxdm/nuswfteD/Q7Nvt4Md6It6LwrrGR0z/Gm81r0FZNn8WyAzT4jACAIzkahVyxswc1qnoOkwZu8AeUXUv74SevabhwWLf8/ei8AUocD7+cvaNrupJotYoQgMfytI6CCRksqufvnNhuxrAkvbmlUdKch01UzoCPeZpHvMfq8zSOzxt0spdBTV3ofLgffnBDiByAnkETpyDmWxQIyPYxEBzOYgIwNacsoF4SPgtkJMNITYWAj0pTQZkKZnGGVls7w5/N39QgcTR/yfOR0QLBci4MnrAx764h0QHHYmsmQ3+qI+JYWZosLrMw7w0U6I8QkQbFboma6gc8w1ZavFEG6yzFJ1lxu6x2PMSRDYusW4WOZDkt18PmN8aiQKERuJzsMa4HKBpRRQs9tYlZqcTXe5oCUmAbQ26h8VBbF4sbz9PF7oSUlgIhPNxeGAWCyB/ZtFF+S6j52tOfA+ysFD0A4fhS6KsNStDSEhHmJ0tFGmlJrXB5oPa7KUvcfs9znXSJ9FRYX8gEUmdKjAoQNp2LhhK6rXKI9r61REdJSFFRs5ddKH/fsP49CJIzh+8DgGDnoesqhA0AVoskq1UJDhtWD/+YP4OfEI0lPT0KVZS5SGxCI7LCR2MF8OOpHr0EWdiReiqLHSsnVr9IUgVICqaazCSO3rLFi5risEUWV/MTeK0mos1QW6xPbN5wIqlnkbmkDChQWCYket+vvx25q3AUnD0cMimjUaAo/XCYvVB90bi9ji53D/AzdB0CwQdSo7Z1Q/8fpskOVMHDl8GpvWeaBI6dBFnyF0jGyJzj0asQiPi43o0HUvBOatYTzM+w4cw531F0NTnBBkHV7VhRc7N8S4yS0gCh5oqogpb3+D8WN2ADqlynggyoexdNlI3NCsBCD4jDK1mmT4dvDGCXACVw2BwjpEvvLyvXhrZDtmkJizFYbQ8XCLxpg+uQNKl4rLHrqoD9ehbLDZHMyuC/QtCWXsohI6zEr3mqX8mB3og/k1FPVeFMYzOqB3K/Tv0zrP85lzL8xMOgMFILNv/v3iA1VTMWvBhA4yxQyMsAj0/AiMILm/eX3mMRIVZQtb6Ais3EJzNSuRaxb1kZ9Hy8UKHSTQkGdJ0xtq5MJ3KYWOotr7UN513ocT4AQKh0AwoUO6tiaczz3DPB0Ep8MQOjIzoezbj/QRbxoHbn+zWOBo+wSsd9wOITaGCR0kHmgZmVB274ZrzgJoZ89md/cLHWkTJhuVW+jEV64Mot4YwsQOEg3cn3wOz0+/svh42913wN6+HeunpWfANWcefFv/YiKK7vVCkGXA6YRcoxqie/eE65PP4Vu/sUBAQskSLNoh470PoB48BN3tAbwkdGiG0OGwQ65SBfbnnmFjU/Ot24DMmXONsW1WOF98DpabboCemoaM996Hunc/+0isWAExI4Zkz8G37W+45i+C+u8JkKDC8imcTsY3duyo7FQh5di/cE1/H+rho9AyMiAQZ7sNYtmyiO7TE2JCAtKnTIN26Agbm+7tfOVClRvfzl1wzZkPjd3HxVhSxA0JJfbHW8N2b3N2L++q1XB9aFSQI4HK2f0VyDWN/574Nm1G5vRZ7Ne6RUb8zPcKZOnvEJHQoeg+ZKTp+H3l3zi8Pw17d6Zi785k7NtzGuTcTqKE5rWhRgMNn2/oj11px7Hr0FFcW6YcGpQsizjdCkguJKt2xIsiMweVKEeFPVmAQuKGsRyIumqIDaKO9FQBtau+Do+rDHTacE1A2QpubNnVF7JMqR4yNGSwCBOBkmKYQAGcOg7UrzURoqxDp2osPhlNbz+Pr74bAckGVl72pgYDAL00NM0DGbGofv05/PrHMJb2IcCb5XBhYdVTaKYfL1iPPq/+AF2yQWWmpx4MH/0QuvRszN61ixU6jBdWgEbVbC3A9HeXY8zArfD4vLBardB0F+Ys6ooWrRNYig80O7bvOIR7mn4BVYuFbCHfEB/aPV8Voyc2hyClQxAkSEJUvs7rIT85vCMnwAlcNgQu9hBZLCEaA/u2RqeX7oHDnluJp0VejNBBB8hXOtyLPj0eBt0nZyvqw3UoG3QlCh1mczbz3wjnQF/Ue3Exz2iTRlUxamhb3HV7XYgX8lTzbK/ZPYL5b5hFu+Tn/ZGf0BHILuc9zVKI/FE1bo8vLKHDrHILQTDz3zDz8cjPdDVSocP/fvfq9pCpueilEjqKcu9D+TnC+3ACnEDhEDATOoT4eMTPnwXpmnJ5bqIrKhJbtIJOkQnsHCnB8dJziOr4UvZhPfAi948/IX3YKCOKIUfVlaSOXUH3pyaIImLeHgvrbbcYVV2mTINr8aeG0HH/PYgZM4JFW6T2GwTfWsMzJE8TBMQvmAPXRx/D8+NPBQIS4mKRsGAuUnr2gXrYEA5Mh42JRvy8mZAqV4Jn2U9IGzrC6GaxILp/H9hbP8wiNdL6D4bvz7+MNZYuhWLff8V+TT4ZSe2eN1J9ApsgoPgvP4DmoiclI7H1kyxyxqzFTpkIuU4tpPbqB2XXbmMKTW9C3LuTjPucOo2kZ16AnpIadC0xI4fC9uD9cH+9FOljxhn9BAGOZ9oi6tUubD89v6xA2oCh2WOU2LymQJb+DpEJHXDhj19Po32bUYiPqYLYeBkJJT2ofX0p1KtfA3Vq10W9imUhlwK8YjpU3YETHg3f7foTG//dhxrVq6NWQmncGFsC1ZzRyCRhQAQrM6uS+SYoIoJSVshhQ2DRIPRguV1A3ep9kZ5aloQ5WCg0RzyGo+dHQZIViIiBIJLxpgpdo7+sC9B0D1b+cgTPPr4Miu6BRbTQDfDsy8UwcfKLVDkWhw8ANzagSJFSrL+sx6D69eexYs0oVtlEAI1NYRAiVM3D5rR4wRr07b4cmmSHQkIMFLwx+hF0oYgOFELqChMvjM2mfz1y91xs3XIEihINWXJCE5Kw8ONBcMachOpRYZOc0CUVLz+9HCfOnodkpTmLKFc+BZv/GgnBms7EIuhOJnjwxglwAlcPgUgPkRRq3rrlDXjq8WaoUL5EUCCRCB01a5TFE62aom2bm3FtjXKmAqtZqPmlNiO9EoUOs2/rg5XkNTvQm0UAFPVeRPqM0kMZzOAz8IE1O9wHM2A1i3YJTAHJOb7ZO+AXGMwibPz7Ecg1p8eIWaWb/FJXzOYcrNSuWfpKfu9WpEIHjblobo+gVZLMUqyKwoy0KPf+6vkvBV8JJ3D5E8gjdEgSExVs99xlTF7XoSUnM/NR9qWwKCKlSw92KKcmlr8Gce9OhlTeSKFTz5yFum8/xHJlIVeuZESCqCpSuvaCsmWrcU2J4kj46EPkFDroz61334GY4UNYJIWZ0OFdsw5pg98AGW2y8zmldJQpBcgWdm6lCAYyUnV/sxTur74FidUkmlBlGL9domC1sEIXbB7xcSxaIaVn32yhg6Ib7Pffy9bh+2OtkZJCYssD9yJmxFAWZRKW0KEoSOnYFb7tO7MfBkoFoZQVlkaiqoibP4tVs0l7YzQ83/944aGx2yCVKMHEB0oFih4yAHK1qqZCBzFOH/wGEyn8TapSmUXjKHv3AT46rwPytTURO3k8iGW20MEiasoibuZ7EMuU/g+EDg1IS/FCFK0UvcKiL8i0k1J86FTucwPnj/tQrr4MjYQCBbBKEmVNgLJvSII4deIUPt/8Bw6eOo6uLZ5AjbLXQJDIxBOw6rSJWTEdghFBQeOqOtC04VAc3k/VUSwQdBWynIx12/qgQlWq2eKEqvogsgdGZpEdqiJgQN/5WDQ3mXl0aIoXDqsVk969B08+3YgVIzl6GGjWeDAUb1loSIYsykzoWPnHBLbnzIyUUlcolYaqwOgSFn+4Dn26/2QIHboAkVJXKKKjRyM29YuO6IAGlUAKNhw/pqDZ9eOhiyp0X0lkutNhj0qEJPkg6THshaEiMx41BV5PZci2GHiUVNitNlgsZ/DOjOfxSJuaEOUMxuiCMenl/wOPz5AT4AQKJhDsELn08/5o0tAIbwxs9E2s1WpEvRXUzA55M6Z0QOuHbzS91Om0mkaGBHYu6pKmBa2LPr/ShA6zA2wo68zZx8yvoaj3ItRnlA6sL74yHSQQ+FtBh2l/PzMBKFw2wcrDmr0D82d2w9NtbmG3CEyb8B/mV6/ZnctLJech/3xiOp7v9C5++vXv7GnmJ3SYiVbhri+YR4uZ0PH8M3dgxOA2sGXlW5NJ7IQp3+KdGcty3TY/IepSlZctyr0PlzHvzwlwApETCBQ6xJIlUey7L7KNK9VTp5Daoy+LFmCN7AfJoyIrdcVy682ImzKBfUQRF2mDhrO0EaF4McR98C6ksmXYZ8qxY0imyiv5CB2i04HY6VMh16ltKnS4v/wGGeMnsUM/HYRJIJArVjAmRfPSNIhOJ0tnAf1DZXBXr0X6WxOyDs1AVJ+esD/0QBYwQ2hI7tg1W+igVJKETxcxcYYiJ3wbN7O+UvWqiHt3CnybtoQldFAKSVLb57L9MCi1J+69KZDYvA0hiYQP8j5J69kHvl3/ZG8mCQ/ytVnpiSyFxc5SZMwiOiglJrVLT6gnThiMS5dC/KJ5zP8jc+YcuBYtMbYvOgqxY0YwISen0EEH8KiXnoejS8dLL3R4FR/OndYx893vsHXjcZw97YLb5YXH64LX62PGofc1r4BpC/vinMWDpRs3oG79+igpWVBRtsMBHZoo4gwEyIoGhybAqmqwWKWsMzjlIpHQQbERMsVRQNAlVvWkdYvJWPu7C4Jgh9UiQFMy8P7sdnjoiSospFWj2rxkAkPBCxQFkg7Uu7YLkpKqsygH6D5QXdrN20egYhXjITxyREDTBoOhKzWgCecgi0D1emeY0GFUM1KY0EF7St4flDKzZP5G9O62HJpMQocOUczE8NEtsoSOi6+6Ao28Sch3RMbA/gsw/4PDUDURmhILXTqDtu2boHylKJZTZRVlFtUhSRacOp+E2R+shdUWBc1ngaSpaHZbcSz+qhusTh9UnwTZkpUmFPnPIX4lJ8AJXEYEisoLwr/Egg55kaKg0P3XBy/C+3N+zjXE3Bld8Gzb2wocdu6ClfgihykjXdDi/obo1un+Aq+9FB2KYl+2bjuER9tOyFXSM5K1BB7oi3ovQmVB0RHDRn+Kye9+n2tZ+aVdUEczk85IuASrTlLQO2AWubFkfi98/tV6vPvBhW/EckbehCN0UFrw4BEf56rQEsn6gpmuhlp1ZcufB1lFl5xCVH7+JgcOnsYzL78Dem797bo6FbDkw54s0iu/lprmwtCRn2D/wVO5uo0a+hRylp8u6r2PhDO/hhPgBCIjECh0yI0bIf79d7JNK91Lvzc8OYI0Z/fOcL7wHPtUPXYcqX0GML8LOtDFf7wActUq2Veeu+FWdrAPFtFBHR2PtUJU/75In5o3dcX12ZfImDDZSIGxWJCwcA6kalUvGGyazNHz2+9IHzqC+WJQixk6ELZWLbN76skpSO7QJbfQ8YUhCmS8+z5cHy5kv5YqVEDc1Anw7dwdltDBIkCGj8o2R7XedQdiJ+Tl6dvyJ1IHDMmOlLHUvx5xc97PsyJKkTETOrxr1iJ9yAhoaUa0i7NrZzhfytqX/QeR9OyLzDeFBI3ofq8xfrmEDgbfgWKfLIRv1+5Lm7qiIgPr/jiC554ejISYqqhVqy6qVC2LKtXKoWTJ4oiPj0PFKhrKV4lFOjw4nJyEk0nJOH3qNJKTU6E5HShfqwZqli2L4rDBCR1OnwoH5ZGwcAhSwnRousoqmoiahUVn6LoVM6ZsxoihX0EUY+GhUqqiDdfVlbBsbS/IMpmWeqFR+IduZ36mv/54DB2emYt0nxU2qxW+zEyUu8aDdZtHwxmnAqIPhw9acWuj4VC0YlB9GvMYqVnvLFasGQ+RjFRZeVkjyMgQPKz4aMEa9On+MzQ9CrqgQBK8GD6qFTr3bMAiTeiFmjv7BwzpvRE64qEqIqyyB8NGN0fnHo1J6smKWjHSSHSd7kP/M35Pgo0kC/C4RTx491Ts+JuiMeyQBSsE+zZs+nM2Sl4DaIJulOfVRNBtqehMi+bjseNvDxRfLDRNRWyxc9i6603ExmmAokMM4lYf2Y8kfhUnwAn81wRCPURGOs+CDnmRjkvXUcWJbr3n5BoilFSFYAe/UEWSi5lzqNcW9r5QROHU6cvw+hDDsOtimplwUJR7EQ4LM8PNgsxCza6JhI9ZeVgap6B3wMyLgyIidu/5Fxs3G2ZwgWOHI3QcPnIWz3aYlj1WJGuja4JxDFXoMEvToXGDCVFp6W706DsPH32Su0xwzmiYYGsxS6cyE0mKeu8jZc2v4wQ4gfAJBAodtpYPImb44GzxIH3iFLg//izowLEzpsJ6QxP2ORlhpvUdCO3sOXZ97Mx3YW3YIPva83fcx/wnzIQOv7WpaLEg/vMlcH3yaR6PDve33xnRGVlpGFLVyrA2vxuOJx41UkFMWqRCB/33P33gsOxUEBJsYqdNgm/rttCFju++hGv+R8iY/kG2P0n04P6wP/pInpl6V64y0nKyIlHIHNT5Qvs8/YIJHZ4fljPhglWNARA7bjSszY30I9qPpMfaZkeVODu9DLFkiTwRHSRCkbmqXLM6UgcOy753kXt0eFQPvB4LK9saZVTBAaUnpaUB6RmpiE+woUwlctmgiATKDhHgUxVokg1Jmg+Jmop9//6L40cPQ1A1VC9REs2vawSHYrjKqhLFcACCRmVVPRBY5REV0K1ISxRw203DceZULHyqDF1wwS6qePSZshg8/CUUL0NRP14ImhXrV59Dh+fGIjOlPLyWTGgewCkLePbFSnhrQjsINsoP0nF4vwW3NB4CVXBC9UQxv42aDUjoGAtRpDwq8gmRDEdanYQUOxYtWo0+3X6DrsZCEDIgiz4MG9kanXvWh6Br0CUNs+f8giGvbYXPJ8NqkSHo6Rg6shU6dK9vrM+fREKRIgJgkY20H6qKIlvIZ0TAwYMu3NxwHEQxHppKYyh49OlYTH+/A1RRY1VjmJcJzY/lqmVixbJUPPnodKhaHESrBZCSMXDoXejV91bIpITwgI7wf/LyKziBy5hAOIfISJZR0CEvkjH915jl1lesUAKfzO+Fxg2rBh3aLOXkUvt7FLTuwt6Xc+fT8GLn6Vj+q2EudjHN7EBflHsRDotwD9PBTDoj5WNWnSSUd6Cg1JJAMSAcocPM1DPS9ZmZroYqdNA9wxWizNJKHm99E6vClBAfvEyg2ZoD/T0uxd5HyplfxwlwAuETCBQ6mCnla69mD5T6+iB4V6wKOnD8Zx9BrlKZfc6iEvoOhE4HVDpsT58K642GCEItseVjLAXGTOggk0316DFm2Gm94zbmGZG5JLcZqbJ9J2g+TEjJ2axWRHV7BbaH7ocYH5/ro3CFDqpuEjt2JJR9BwwhICtFx3r7rYgZPwben1eEJXRkvj8LmfMWZgsdcdMmwdLspjw8Pct/MSJPsjxByA/Elp1ic6F7MKHD/c13SB97QQSKnTYZ1mZGurN2/jySH28HLcvbxNG+HUud8Ud0UIlcSjFSDhxkETL2B+9j0Sz+VuRCB3ll7P3nDAb1m4bDB1KRkpwGn0+Dx61BtmZg6c+T0LBhRSRrHuw8fhjW+DjExcQiTrKDPPdt0KH7VGQKMlRJh8+ViRLOKAhU61eWmJUnNTrHswxykfKaspwyfDLenbwGY0f+DJ83AYKcCclngSh7kVAmGbfcXgfxCdHYunkPdv2VBFEtD7dXh25TIeqpqFDeht/XDUZMvMoqvFAJ2kP7gVubDIaOOPhI6BA8qNhmfmAAACAASURBVNngTJbQQZEWIsukYTEdmg5NkLBo0R/o1+V3aFoUBDEdsujF0FGPoHOPhhApukLWMHvWSgzpvQ0+RYUgZbAUHLsjA7pwDqLFllUdxgPo9Ot0iIIdPpcVL3S+HcNHPQPVI6J3rw/wxUeJ8KkSdN0Cuy0T36/ohevrG2VmVSZy0Ayp0owKXchAcmI0GtUeDLc7Hm6fAkmUERt/Clt2jUScIwaixW+BE/4PIH4FJ8AJXH4EwjlERjL7UA55kYxL1wQ71La4ryHemfgiSPQIbIlJ6SyMf878CyZX1CdYWH6kc7vY6wp7X8wO0k89fjPefKMtnE570Olqmoap7/2A8VO+zdUnsOxqUe5FuCyCHaY/nt8L995dL9c6zEw6qfLJ7PdeKTA9Yt2GPXi+03ugyAN/MzPLDOUdMJtHzokGRjGEKnQE82X5fFFv3NKsVr6PKaV9dOz2Af7Z+292PzPT1XCEjmDPCaWbTRn/AmJjHLnmFCwaZeiAx9G358Omfj6U6tKj37w8ESyBHiOXYu8v9ucAv54T4ARCJ5BH6Gj/NKJ6ds8eIF+hQxSR8NUn2dVZ8ggd0ybBmuNQn9jycWinTpkLHQ3rQa5WDe4vvmbRGVTq1LN2fe6qK5oG77KfkD71XSPFI2eJW1GApVlTVtI1p9gRrtBhRo4qosROeAuWRg3Cq7ry3ZfImDYdroVLsucaN/cDWOrlLaueq5oLiURjR8PqN4TNMangQsdSZIx9m/lIUstX6Hj2aVbW1i90kC+L/dGHDUFGEGC5sQkzYvW3Ihc6SI/YtuU4nm87EhXK1UXV6qVQuWpplC9fEZWrxaLpHdEQNSeSoOMUVGw/fhxbtu9A4smTqFSyOOpXq4baVaqgGPlI6CrsFplVWfFXWqHfscwOCntgxU4IEh3OZVZK2J0JPP3kWPyxIhE2sRJEQYfPp0CQM6CrIiwkIkgaNJU8OyzQNB2CRYA9dg9mfNAXLVpUyRFOARzaR0JHfwAloHgcEMQM1GxwDivWTIAg6llVX6j6ilEJhYSOjxatRL+uv0NToyGImZBE9YLQQaVjLD5D6Hjtb3gpBUlMR5QjFopHhcudAclqZyKLILgALQqSnA6LFANPhoBb7hPx2dKe8KYDN9QbiLMnSdCxQZJkwPI3dh2agZjYDIiCBRqo4gtFmxAwEoRUaLDikfveweZ1FCEjsoo0ivc8Vm8ahprXOoyQEd44AU7gqiEQ7iEy3IWHcsgLd8yc/bfvPIpnXpqW6zBGn5PI8WL7u9DsxhqsBDmlB9ABaPGnf2DHLqMEnL9RSP6HH3TDwy0aX8xUCvXaUA0487upzSYjOsrO1j563BcshSJnCxQrgo31y8rtaPHYW7k+NhOGimovwn1GwzlMmwlAoVb2OHkqCc91fA+r/tiVzSZnZRT/H4byDgTbIxrDzAA2VKHDLNImvwoxOTc5WOpIoEdLOEIHjR+OEEVRF+Sn06XX7DyP563NauHF9ndmC5ok6iz/+S988sVakKCZs918U02QWFSpYsnsP74Ue1+oPxT4YJwAJ5AvgTxCR7unENW7R/Y1qUNGwJtPqdb4Txdl+3AUFNFx/qFHoZ8+Yy50NGoAZ7unkDp0pGEcSqH3/oonWeVl2aSoCsy588iYNgOe5T8zM9HsRv4TI4bC3uKCb9jFCh1CXJxhHnptDVbNLqzyst99icyZc5E558PstVDFE1ZCN6B5fvoFabT2rPVEDxsE+yMP5ekXNHXl2++R9tb47LSefIWO556BVKH8BaGjVCnEThqHNPJXOX3aMKLNwbXohQ7NDRF2eD1GtRX//Um0sNhoLpTiQVVPwIw9mTggApkicNzlRqKo4Yw7A6ePn8I/e3fB7vOh6+NPoqRkhVXXIdGFig5QKoudbGvFrHAKHQqV5YGOzAwZz7YZiw2/ueCwl4fbk8Y8LXRdg6oq7C/F9C0WXetT3HDEnceMuS/hwRb1IIsaBJoQnfcFFYf3ibil4SAIenkoXhmQ01Cz/jmsXDOWdALWR4CXlZk1TE4dWLRgHV7vshqaGgdBSoMouTB0VMusiA7KPfFgzqyVGPbaNmS6bLA6dGiqwkQT2aJDIVNUnb6BU5koJMhuuNN9cDqcaP6IDbMXdcThPSrubDIe0ElMsUHVMtCyrQMz5naCyFJ6qNIMxbxQ2grN0w2NiUMCtm3x4IFbJ0PQSwNiOmPZ/oUbMf69O0EVdnnjBDiBq4dAuIfIcFceyiEv3DFz9qeDEB1sur02J9c36+GMOWb403itewvIl5EH0cWUVPWvffigNqBUg2DlXz//qA9uaGxeWScnP7MDPYlDSz8fADpA+ltR7UUkz2goh+lgXi3BqosEPlNm3hrU543BbTCwT+vsssihvgMkGDz8xNg8z7GZyWmoQsfU6T+g3+DcvizBTFPN3plQvFfCFTrCEaJoTiRgDBy2OI/xcKjvOIme5L9z+y21sy+5VHsf6hx5P06AE7h4AoFCh/X+exA7+o1sj46M92fDNXte0BvFTp0I6y3N2OfK7n+Q2mcgtDNn2PVxs6fDUv9CROC52+4BXK6gQkfc1IlIfbU3fNsuVMaicW05hY4cM9FSUpHx3vvwLFsOZJmN2h56kEV1+Fu4QocYFwvLbbfAt+oPaJSCIwiwP9YaUf17QxBFJq6QlwZrFgui+/eBvfXDIAEirf9g+P40Ul3F0qVR7PsvkblwMTKnzcgWOpxdOsL58gt5eHpXrUba4OHQ3YbHhqNtG0T17ZWnX1Ch48efkD5qbLZHBysRfP897HqqsJL8xNNGtRwyKu3cge1BdkRHqVKIm/UeS1GiaJnAPISiFzr0RGxb70Gn5ybDlVocXreOhNKZ+PibAahe2wlNAdyijn3HDiOuZHFEO2MgQoMNIiyqAMqcIA2CNAUPFOiKDzGyFRIJJKIIVRCZkSilrrD/R+ICyx3RodKFTFWzwOsCVv58DBPe+h57dp2EqgB2Wzzcbg9EWYEgemCxKmjT7jZ07nUDKlVOgFWQmUGnRAqGoEAXBBw5ANxxYx94XWQcQxEQHlS/zo1ffp/Igh9YiVmBFAQNqleBZHFg4Yer8fqr30LXoiFbfFC1VAwd3QZde94Gd3ombE4r5s//CUN7/wzFG8/K4ZLowpJMBB80gVJWyHOD0mLoJj6IJFwIPjz1fEOMHt8Sr3WfiK8Xn4JIbCQndOE8NuyYjLJUGjorlSar9LLxEAgadE0xasRoMu65ZQgO7SHxRwFUAQ6bD2t29EGZcmUv/icRH4ET4AQuGwKRHCLDmXyoh7xwxgzsS6UrFy5Zjb6DFoQtdgzo3Qr9+7RGlNN2MVMo9GsLU+gILF9Kk72/eX3M+6ArShSPKXDuwQ6FZn4NRbEXkTyjwa7J6e9glhZhJuDkB+i7ZVtylYClvs3vvA5z3+8Kiu6gFuo7QGV6O706E998tynXLb9c3ActH8wdbRSK0BFsvFDMPP0TMKvUE+jREq7QQWOvXvsPnn3pnVwVgPKLrAqWclbQw0six8Qx7dGqZZNs4YmuuVR7X9D8+OecACdQeAQChQ6pTm0kzJ+VLXR4V69B6muvB72ho8MLiHqlo3GgphKnFBWw/wA7XyZ8vABSzqorTYxIBlOPjkYNED/zPbi+/BoZbxrlav0tmNBBn2unzyClV1+o+w6w7pZbb0HclPHZ14YrdFBKR/yCOcyM07d2HRtHsFgQQ4IOpXSs34iU7q9l/3lUv15MCCEfjLR+g+H7ezv7TKpSBQmfLYJ3zTqk9RuUbTIarJqKsms38zfRzpw1GJUqZZT5NcqRZregVVfWbWClff3+KM6OL8HZ+WVjX/bsRfLzHbPL8pI4Q+MGCh1iQgITREgYydmKXOigFKST/yZjyaLv4XQkICpaRu3ryqHxDbWhqUZpV0F2YeOhg/grMRGnBQFuUYKk63BoCko4bCgXF4M6UbEoHp8AmygxQ036nyEFyNCzqpxIFKkgulmVEh30l1gan/7Qk+VxYUWGW8LRw2fw99+7cO6UDz6vjrhiIspXjEODRnVRrJgNAij/1gaBDD2Z3YfK/lE1H3weG7ZuOooMdyI8Hi+sVgcqVYlBjZpl2ZwonIRVQ9GtzKND0dOQmp6Ov/48AVemAkm2wiLbcX29SihR0g5BM0rhJqacx8kTGSyCwyh2a4yk6xIUiiihposQBS9bC6Xa6LoPpUpHo3ixBGz/az/OnXHD7ZJhtTpRvLSKBo0rZylbKkRyFaU5sWgOEoRkJt5omgxBUrH/wBkcPnAOPq8HsiQjJsaO6xrpiHFe+EYk15PDf8MJcAJXJIFIDpHhLDTUQ144Y5r1pWiC31bvwuARS7B568ECh6MKDAP6tMZjj9x4WUVy+CdeWEJH71cfQt9BC1mFmpzNTKTID5rZgf6OW+tgwaxuKFsmIdelhb0XkT6jBR2mzQwrA0WKgh4ks2gZuuaHLwfinruuZ5eH+g6YVcYJxjgUocMsQiRYZZhg6wxWfjVnqdtIhI5QhKjAOdE1M+f+grcmfp0nNcVs/pReNeT1x1D/+kp5Pr5Ue1/Q88M/5wQ4gcIjECh0CLExKLbsGwg244sMLTWVRQooe/dlfckrQD112qiMQcLCjU1Yagcd9sgfgg7PvrUbIJQphbiJYyGWMlLfqCxryvMd2K/zEzroZ3riPS2gp6RmL9IvdFDFFvLmoD7+puzcjfQJk6GnpLA/ouiK6CEDsj+PROhI+GIJfOs2IKVHnwtmpHfchphxo6GdPIXkx582TEMFAY7HW8Pevh3UQ0eQPmZstlGq9c7bEDtxLJtv4qNPMpNV1mw2RA8dAEvdOtlzJCNQ4kkCSs5olqj+fWBtahiKMm7Fi0N3u03Ly5JBa0rn7szQlfWNiwX5gQh2O8gQ1b30f+ydB3hT1RvG36TphLLL3lPZIAhFZAoqCCjIFEEFVED4C8gURESZMlSWAsqWLUNEQaYKKMiSIbKUJRYoo0BXmvyf76Q3TdK0SbrHe3x8oL3nnvE7J5d73nzju9jf50bgxA+UKOUodHgVK4oHn862iykiN6W+0BFjQugNI06d+hNFihZAmbJFIeEjzPp7KuOJuFqEe8kB3iJgiDjgo/4ORMYAV2/dxV/Xr+H3B2G4dSsExf390e2JxijiIwd1IFppAGZ4i0WHTtxFvJVwYJbDvAgFYpGhj4HRGA6DwQ9m5QIiax+jhCaLKCIGIHrESOpVvUG5dEi8Db1sfHOExeVDJ5YUETCaImHQS7wQwBgTof4eYzLC2yAhPqUlseYwKJFEfoyKeQAfb1+YdDEwmfUwi2WG9K8zxqajNcIY4wODl4/KnKKsLmINUZTAYrYIIbEKhYqvYTJFSfAPNX7JMiPpaI0mM3z9omE2+SA6CvDyiYAxGvDS+0Gnj4aXil0iAoyFmyUzjRdM0r5XFGJMkdCZvVUsD7H0EGbixqJDQesm5V9IgAQyP4GkHiLdnbm7hzx323NVTywKfvv9PLb+cAS/HDiDY3/8raw85NviGtVK44n6lfBUs2oq7oG/n4+r5tLtekoJHS+0qYsuPT+JF8PE9iDuziQTCgrpGK/Btq2UWouk7tGE7uvYPhjTJvbA6HFfY8mKvXbTHz6onXI9ERdWd0pCbhi27iGefAYcLSgSEqRcCR0Jxfx4qfOTKlCvfB7cKQmlJbaN0ZIUoUP6TkiIWrpwACSgcELlXlg4tu84jq3bj+D4iUs4evxvVVWsN6pXLYUmT1ZGy+bVUbF8Uej18QOoJxSgNTXW3h3GrEMCJJAyBByFDmnV/41eyNHnNWsHZgkWqcVP0Otxb8hwRO//TV3XFyqIXDM/hqGCxaVTDuIxl69CH5TfGhTUbDTiTvfXLJYeLoQOuf7wy8V4OHe+VWTQhI7ILVtxf9LHMMeml1WNSSwJTfjQ6aBcNlo2t449qUKHpGm906M3Ys5bvgQSwUaEC0m9eufl11RWFlV0OkiwUokrormdSIyJwAnj4CvpXU0m3B8/0So0aPeoOBQKmBl5vvochsqP4sHcLxC+cHHcwoqlQGw9eSrnGDlUxfe49/ZQiAWIFO/69ZB71nTVzv0PJ0Gyr2hFlysXdD7eMIfetmZzMVStglwzJiNq909OhQ4RWsIks03obWs7qS50mGLu4/CBuxg65D2sXDsLBQrLYV6CdUrwh2hAH4N/ogJUoFG9Vwy8YVShNnLqvVV6U5NZBy+DtwqdGW2S+Bcm+ItVh1KjVFAMFcsi1ghCtSc5RcyQeBtRKg2rCChmoxk6vRzyY2N4KFFE7pefZaPJMsS96JhizMoVJcZ8F+YYLxgMgYiKioHBx6gCvXl7+cOkC4fO7KesK9RaijsIxIdIBBtxLVFBOhAT7Y0oU4RFaDEBeh+JOBqlBAq93CjijNkSo0S5vig3HBFNpC2Jq6GlzLWIJ7EpXWAyRomDD4wxXqJ7QG+IhpfOYuEi8Uf0FiUEOjVXCX4Sa9Ehy28IA0yByjUmBmHQ6fygN1tcibT9C4kzIsxYSIAESIAESIAESIAESIAESCCDEHAmdMi3wLlmzbBLDWs7XHVw1w7UEsPixReQU+JJxB1+7Gb3cMkyPPxsnlWQSMyiQ24UqwQRRswPH6p2rELHt98h7CMJuGnJLOJYvB+rhcApE5Q1g1aSKnTI/Spl6/jYoOIGA3K+Owx+bVojYsNmPJgyDeaoBMbxeF0EThwHfe7cahgimtx+sZuyBnFWtDS85pgY3HmhC2KuXXNaL+fggfB5pqVzoUP6CQ/H7fZd4qfftWkt95xPlBVOxDebnAod5vv3cW/Yu4j+7ZD1rlQXOqIRjpgYf3V4F9EBYo0gIoLBV5nvmPQm7Dt7BRevXca/d27hyq0Q3I+OQGCeXChRqiRKlCyBPHlyIa+fD/z1PsgBL+SDN3KJg4gc3qVJvZfKI2JQ8UTF7UTUAMmgYlH2dWazRWDQeyHSGAFfH//Yn2XfRkOnk5gYgFksObzMiDSHwccrQJlWmE2R0Ov9YBTTEZ0eJp1RuXYocUVZb8SKLdYvEbQIumK9YbEqsQgqcVqMwFAiiMTgUBZMseO0iGuxYoZciL3fGlrFIuhYtA6zal9LFqt+pxOJR5QNEeFi3V9ErVN9KTOSuO0ibisxMieTEp4sgoq0b2FqmZcZOi2wh9Nty1+SAAmQAAmQAAmQAAmQAAmQQNoScCp0xFow+HXtBEPJEoC/JYW1HKRNt0IRvngZTFdtDuN6PXwaP6ksKXQ5c0Ln76dEADk0G0+fQcSqNdZAmOp0VCA/8i5fhIfLvlbpZtXvypRGjtctMSUQGYnwVWsRffpPSw7QGtVVcE6JX/FQ+r7+H8SNBWJpotdBlyMH9IULI+DlrtA7xEUUK5KHK1apIKhS/Do8D+86NvGboqPxcP5XiLkc6/IRFGTNOiPZXR7OmquECjkF+jZsAAl2Km4mkTt2IXLnHjVHREapmBe6HAHQFy6kgo3KHG1LzOUriFixCjFXrsIcGzgVAf7wypsHAf3eUJYxinFYGB4uWgrjuQsSVVr9TufvC8n+4t+xA7wqlke4tBNrHeNVoTwCXutp7cp07V88WLIc5qvXYJb7xcUiIAD6fPng37kDDNUsqW2j/zyDiMXL1TlVBBn/13tBn8/iUhu1aw8kC4xWAieOd3tTnjhxArnEksRs62Dk4nYTIiHHcUvECYkUobNkMRFLB7GyMOgQ6QVEmoFocUWRyLfK1sOEhw/vIzz8AaKjohARYUTYvQe4f/seqpYth0olisBPWlYKhiSblUO6JZZGnNmDlxJTYowSbNRLpVwV1xPJAqPXRyE6yktlJBHTHHFBUWNCJODtBaPRCB+DjNkbJqO4tZigl0wtyhrFBL3ZPh2JpO1xLIlh0uo71nHWTnLaTaw9re+4OmINEyt0KHFGRBL3zHnd3kWsSAIkQAIkQAIkQAIkQAIkQALJIBDzXwjudH7ZcmB3LHIu8/GBzkdcVs2WgJriNhKb9jVefS8vFRNCspFIxgrlyiGxPGxiasg9Emgz75rlFkEk9po6AdpahEjWT+2ajEMLyim/j462tG2SL5p1Ku6FGqdD4E5pUtpQX9ZrbSlLfYfzpm1fcha2dcOMsWQflaLOejZ9iEuOSoUrf8o1X19LbBMn51nVgPQTHq5EINWWjNnPN17AUVVPXGEiJaakzmLl4OcHncbHZrzqnOngNmqOMQGREUpQkS/1VT8BAfEtbmLbcZyXrJeKQRJbrP26sc+SJHQgJlpCQSA6VuzwkklFm2HW6RFlsIT9DEM0DPC2KF82zhoiJRhUAhU5fptg1nvhQXg0/PzligkGmCxZXyXuhNrGsRNTvh8xymLBGOWNqNh1zJET8PITEe2+yl6iM/vDyxANvbi7iPeKxNXQGWA0RCoLFC+vcJii8uD4oTv4YsFsjP2oH4KKBMJk1MEnA6UldGPt3KwSFwjVYmUSX7xxsyFWIwESIAESIAESIAESIAESIIHUIWA04uEXXyJy6zYVkzG1i85ggG/H9gjo3jW1u2L76UAgaUKHKEUidEhgT5WPRKdcV8x6PSLMZvx24igOXboAXz8/eOu94W0wwN/XH97e3vD28Ya/vx98fCVTiR7e3v7I4esPf+hQOGdO+IvYIRYdOs2iI9ZFQ2JSSG9mH6z7+jDeGz0dZSvkQ2joLTzVvAtGjW8Ob0OAEjdUQFJxAdGL8uSF6ChvwDsCesnaogtD6H96DBkwA/8b9AZqPl4Q8IqB2eSl4mmwkAAJkAAJkAAJkAAJkAAJkAAJpAMBoxHipiGWEqlddP7+8dw6UrtPtp92BJImdMTGfFC2AjodomNM8PLygjnGDG+JGaED7ntZbDFEi4swx+BBjBGR4tICPe4jCg+io/DgfjTuhN5FROg95DGb8WzdOsgjFjrmGJh0OkgCVYvoobmuiILhhVWLTmHt6h+wcuNglY2k+ePz8NmyRqhY4RH8fe42/vzzJOoH10HhYgG4cSMEMREFcenyJZQsE4Ar/4Shao1i8M/hhRv/RiHkZgiq1igpLlWxqWTTDj57IgESIAESIAESIAESIAESIAESIIGkEDh37jy+XLwEISE3UKZ0aQz631sIDw/H/C8X4cyZv1CkSGEM7N8XhQsXxu+Hj2DTt1swavhQ+Pr64s6dO1jw1SL06fUacueKC5p6/vwFfL5gIW7evIXy5cph4Fv9kDNnDhz/4wRWrFyF51q3QsMGwWq427bvwM7duzF61AjkzJEDkVFRmDHzUzRt0gQ1a1TH+g0bse/AARijjShRvBje6vemipux4MtFyJM7N17s8AJiYmLw6aw5OHnqFPLkyYvXXumByo8+gsjIKKxd/w12792rEnIE13scr/R42W1MSRI6oizRM9T/+tjsKBIjNEb+j43HEZv7RIW/jE1YozyKNPHDEnwzQsX68IGPcnKR9LASZFNatziwWNxcoItV9Mx66HRRWL34Etav3o2l69+Q0Bt4quHH+GBGExz8JRSHfv0T7743EH16D8Dn86fi0qUrGPDKWrz+Zhv07F8GfV/5GlPndkCxkgHYsOwGft77Mz75onPWTkSipXem14rbHwxWJAESIAESIAESIAESIAESIIGMSiAqKgrvjBiF4kWLoXatGogxxaBRw4aYNedzPHj4AM2aNMah3w/jr7PnMOuT6di1ew9mfDoLz7dtg16v9sStW6EYOmIUPp48AUFBQWqaEj+kz5v9UbFiBdSuVRPSR5PGjeDv54cZn3yGkBs3lEAx+O2B8PHxwVdLlmL1mnXo9+breK7Vszh3/jzeHjwUL7/8Etq2boWJUz7Go488glIlS2DXnr24du0apk+djPfHf4S8efNi6OC38dGkKbh37x6ebtkCItz8eeYMPhg7BseO/4FlK1aidatnEBAQoLxEGjd60u3lSKLQYRE0pKiYG+JVAuC+3owjNy9h3d4f8TDKR8W8CPAxIMDgjQBvb/h6G+Dn6ws/cWkRdxYvHXIF5EKgd4CKEPto+TLwgRmSb0WFOI3NbBKXCQUwmu5h89f3MHPKWrzUuyoOHriAf//xweLN7fB0vc+x88BIGAKAcSO2ICioAKrVLoi1S//A3MVt4WUw48UWq/Dx/HYoVdYfyz+/iMOHf8b0ud0t6WVFNcmKxZq+NitOjnMiARIgARIgARIgARIgARIggexF4PyFi5j88TS8P+ZdFC1SRE3+wYMH6PVGP4wYOkRZVFz791+MGjMWw98ZjCtXrmL23M9RvERxvD2gP3IF5oondPx7/T9MmDQF740eiaACBaxAxWJk3EcTMG7Muxg9dhxGjxyBYsWKYuGXi3Dr9m08uP8A744cjgmTp+LmzZt4rHZNdOnUUQkdL3XtgkcqVcT+A79ixqef4Ys5szFp6sdK6Hi992vo3vM1jBo+DE80qI/bt+/gvXHj8Uaf13DmzFmcPXceI4YNSdLCJknoiM1yCslwqrKcxmZMNUqGE28gMiYG3l4mRJtiEBkdjUhjDKJizIgy6RBhBCKjzSoDT1RUBO6bY1S9AJMJ9cqWQV7RGswxiPHSIUrS7kjGFLHukIwoZh2ijeHYtOoa5n62Bq/2q4NcufzRqMljCLsfgWa1FuC5DrVgFlcXnRGNnqqIgIAcWLfiJ3y+9BmYzT54oflKzFraDoWL+WP94lDs3fMjPlvQEWY8hMHLPvVOkojyJhIgARIgARIgARIgARIgARIgARJIRQI/79uHb7dsxbsjhiEwMFD1FBISgkHvDFfiR4UK5ZXwIT+3bdMavj4++HzBl+jRvRvu3L2LZ1q0iCd07P35F+zYuQujRgxT9bUibitfLVmCaZMn4d333kfH9i+gZs0aysWlbJky2LlrN7p0fBFTps9Aq2eeUWLHG316KaHjsdq1UKxoEWzZ+gOiIqPwwftjlFgiQoe003fA//DZzGmoWKGCGu/EyR+jWdPGyJcvH6bP/AS1atXEM08/jTKlSiqDSk14hQAAIABJREFUCXdLkoQOlStWiuYKoblGiODhZUmRq7LdaP4t4o6ik3Q4tkUPvRkwSVtekuJV9BKLaiIhTvVmL+UWYxEtbB1eDFiz5DTWrfkRy9YOhsFXhBAT7t83oHmdT/H1ljdRspzYhehVtqGd285g8+ozmD3vBcAnEt3bfIO3xwSjWq2iWDLnFP48fRLTZ3eDyrhK1w539w3rkQAJkAAJkAAJkAAJkAAJkAAJpBOBPXt/wtYftilLisCcOdUo/r1+HUOHj8JYETrKl8PDhw+V0CHuH+J+IkLHZzOmYer0GSoWxtRpM+1cV0Tk+OmXfRg57B0Vx0Mr3/+wDRcu/q3a+X7bdtVWty6dMXve56hRrZqyHPll336ULlUKlSpVxJGjx5RbiggdImjky5sXp06fRp48eTD4fwOsrisdXmiH/gMHKdeaCuXLq/FOmjoNDZ9ooFxvTpw4qWJ8/HHiJB55pBL+91Z/t2knSeiIhlG5rEACc5gs+X8fegHXEYnfr17E7RiJvSFgdCp1r06nVzl/LSmDLWqCxOEwehvhZTTDx2hCAYM/KgYVQSHfAARKil3RNuR/yTKrEzHDEpDUaNJh8+qz+GbdNixeORQmlXLWDIPPQ+zfcwcD35iDZ1q2gcn7Al7v3xbnTt/D998ex5RZrRFjDse2zZfwweilaNTwKew/uAnvT+iBpi2qQq83JJhm2G2arEgCJEACJEACJEACJEACJEACJEACqUxAYlhIUM+xY0ahQH6LZ8LtO3fwZv+BGDt6lAroKZYb7wwbqUQNsZYQoWPN18uwZOlybPtxBwwGg53Qceavs/hq8RKMHjkcOWPFE2l38NDhkGsSFNRkMinhYuEXczFrzjw8/ngd5MyRU4kX82Z9isNHjmDn7j0qzoYIHSKIPPpIJdwKDcWb/QZgwofjsPCrxUoA6fFSN7zS+3V8PGkCqlWrivv372PchxPQ4YXnUb/e4xbdwGzG0WPHMXHyVKz+epnbVJMkdJhgVEFGlWgRG0cjRqdThh7ibmIJSCo/WUQNSUBrETfsi+gYmiGFivURG7hU/i7WHuoG1ZGtyYgZZqMBxijA4AeIG42XWJGYowGTt+pcLDnkPoN4u5gsViMmnREGHxPMJh8g2vJ7nQHQe0v9aOjlLywkQAIkQAIkQAIkQAIkQAIkQAIkkMEJSADPAW8PQfeXuqJa1SowxcSgQIECSth48skn0KxJE/x+5AiWLluBObM+wYEDvyqhY+3K5bGxPPrC18fXTuiIiopGz9d6q2ClVatWgdFoROFChdC956t4q19fPFa7No4eO4ZpMz7B/Hlz8MWChWjerCmqV6uqsrQULlwI27b/iK0/bMfED8cpoaNF8+YoW7a0ircxZ94Xqr+5n89XQseQtwfijb5voV79x/F8mza4fOUKPp+/EOPHvacCkIbdC4PeS48jR45iyfKv8fXSRW6vSpKEDsRIcA7NNUUcTcwwmcxK4VExO5Sxh5b7WKsYK4xYxY9YjxRtqEoTsaSm1TQO+ZvYgmhiSqxqovqSeB3iHiOihvpTzEV0MdCL9YhZrEdMMJljYPDyhtEo6W9VjhiYxR3GbLaz3hC3FaMxGt6GOPMctwmyIgmQAAmQAAmQAAmQAAmQAAmQAAmkIQE5036zcRM2bd6iehW3ELGiOP3nn/hq8VJERUfBbDLhxfYvoHWrZ7F7z09YuGgRln61UNXft/8Alixbjg8/eN9qESK/X/fNBpWGVgcdcuTMgTEjh2P8hEkYMewdlCheHP+FhCjrjXfe/h82bdmCpk0ao2b16taZ/7hjFzZv+Q4TP/oAMz75FOfOX4CPtw/0Oh2aN2+Kdm2ew0cTpyB3nlwYNHCAcmn55LM5KsOL6Aotn2qOTi92UO4vC79ahIjISOUZ0uqZlujc8UW3CSdN6HA0zVBpZc0wwQSjyQSdXg9fOyuO+Gk/LPKHmFaIQGH5SdxZ5G+iY+hif6d+o263tCGWGEZTOAwGMePwUa4rXjovZdGhU2YgXjAZLXYiIoCYdUbodCYVN8TLyye2O4sQotN5KdFDOdIoocVip8JCAiRAAiRAAiRAAiRAAiRAAiRAAiSQOQkkTejInHPlqEmABEiABEiABEiABEiABEiABEiABLI4AQodWXyBOT0SIAESIAESIAESIAESIAESIAESyE4EKHRkp9XmXEmABEiABEiABEiABEiABEiABEggixOg0JHFF5jTIwESIAESIAESIAESIAESIAESIIHsRIBCR3Zabc6VBEiABEiABEiABEiABEiABEiABLI4AQodWXyBOT0SIAESIAESIAESIAESIAESIAESyE4EKHRkp9XmXEmABEiABEiABEiABEiABEiABEggixOg0JHFF5jTIwESIAESIAESIAESIAESIAESIIHsRIBCR3Zabc6VBEiABEiABEiABEiABEiABEiABLI4AQodWXyBOT0SIAESIAESIAESIAESIAESIAESyE4EKHRkp9XmXEmABEiABEiABEiABEiABEiABEggixOg0JHFF5jTIwESIAESIAESIAESIAESIAESIIHsRMAqdHjn6WrOThPnXEmABEggIxBoOKd0RhgGx0ACJEACJEACJEACJEACWY6AjkJHlltTTogESCATEKDQkQkWiUMkARIgARIgARIgARLIlAQodGTKZeOgSYAEMjsBCh2ZfQU5fhIgARIgARIgARIggYxKgEJHRl0ZjosESCBLE6DQkaWXl5MjARIgARIgARIgARJIRwIUOtIRPrsmARLIvgQodGTftefMSYAESIAESIAESIAEUpcAhY7U5cvWSYAESMApAQod3BgkQAIkQAIkQAIkQAIkkDoEKHSkDle2SgIkQAKJEqDQwQ1CAiRAAiRAAiRAAiRAAqlDgEJH6nBlqyRAAiRAoYN7gARIgARIgARIgARIgATSgQCFjnSAzi5JgARIgBYd3AMkQAIkQAIkQAIkQAIkkDoEKHSkDle2SgIkQAKJEqDQwQ1CAiRAAiRAAiRAAiRAAqlDgEJH6nBlqyRAAiRAoYN7gARIgARIgARIgARIgATSgQCFjnSAzi5JgARIgBYd3AMkQAIkQAIkQAIkQAIkkDoEKHSkDle2SgIkQAKJEqDQwQ1CAiRAAiRAAiRAAiRAAqlDQGc2m82p0zRbJQESIAESIAESIAESIAESIAESIAESIIG0IXDixAnkypULFDrShjd7IQESIAESIAESIAESIAESIAESIAESSEUCFDpSES6bJgESIAESIAESIAESIAESIAESIAESSFsCFDrSljd7IwESIAESIAESIAESIAESIAESIAESSEUCFDpSES6bJgESIAESIAESIAESIAESIAESIAESSFsCFDrSljd7IwESIAESIAESIAESIAESIAESIAESSEUCFDpSES6bJgESIAESIAESIAESIAESIAESIAESSFsCFDrSljd7IwESIAESIAESIAESIAESIAESIAESSEUCFDpSES6bJgESIIGUIPDPP/+kRDNsgwRIgAQyDYFSpUplmrFyoCRAAiRAAhmPAIWOjLcmHBEJkAAJ2BGg0MENQQIkkN0IUOjIbivO+ZIACZBAyhKg0JGyPNkaCZAACaQ4AQodKY6UDZIACWRwAhQ6MvgCcXgkQAIkkMEJUOjI4AvE4ZEACZAAhQ7uARIggexGgEJHdltxzpcESIAEUpYAhY6U5cnWSIAESCDFCVDoSHGkbJAESCCDE6DQkcEXiMMjARIggQxOgEJHBl8gDo8ESIAEKHRwD5AACWQ3AukhdPBZm912GedLAiSQVgTS45lOoSOtVpf9kAAJkEASCfDlO4ngeBsJkECmJZAeL8V81mba7cKBkwAJZHAC6fFMp9CRwTcFh0cCJEACfPnmHiABEshuBNLjpZjP2uy2yzhfEiCBtCKQHs/0ZAsdUTFG7L1yAj/+cwzn7vyLO5EPYDabFTN/gw+CAnKjeckaeKZMbRTwz5Ugy0PXz2HsvhWIMEYlmXe5PIUxrUkvBPr4IywqHEN2L8T5O9fjtedn8MG4Bt1Qp3B5t/u6cOc6hu75Ss3PseT1y4lPm72OojnzudWes7Z8vbzxXnAX1C9aya02EppfjYJlMOnJnvDxMiTazncXDmHaoQ12ddJjHm5NlpVIIJsT4Mt3Nt8AnD4JZEMC6fFSzGdtNtxonDIJkECaEEiPZ3qShY4Yswnrz+7H8lO7lajgqhj0XmhYrDLefqytEiIcS1oKHdJ367J1MLjO866Gbb2++szP+PzY907reyoQrP1rH+Yd22oVhLRGG5eoqsQOd0pCQodwHli7jZpfYiUlhI6UmIc7c2UdEsjuBPjynd13AOdPAtmPQHq8FPNZm/32GWdMAiSQNgTS45meJKFDrDg+PLAK+679Ge+w7gpV8cAC+LBhd5QILGBXNa2FjpK5gjCjaW/k8c3hasiINhkxbM8iHL/xd7KFjnBjFIbu/hKnQ6/Ea6tgQB7MaNoLhXPkdTmmxCxWhO3HTV5L1IImuUJHSs3D5URZgQRIAHz55iYgARLIbgTS46WYz9rstss4XxIggbQikB7PdI+FDjPMmHt0q7Lm0FxUPAVUMW9RTGn8qp1lR1oLHd56A0YHd1JWJq7KqVuXMHLvEtyPjki20HHi5j8Y+dMSPIyOjNeWl06Pd+q+gJala7kaUqKuOXLzCxXqo3+t1tBB57St5AodKTUPlxNlBRIggawpdNw5g2VzvsOynSE4fxMoXr0omjzbEoO6VoIzJ8fIg6vQtM9R3EA5zN7dGy3z2G+MI1+MRKc5APr1xtnXy8VdPL4JFXrsBxCM1UfbwvJ0jcD5nd9h4dd/YPfBCNyAAbVaVMXLb7RDm/J+8Xdc5EnMaL0Mc24CHaePwoRmgYnvyv/2o//Tm7DNplZQ+YJ4ukMr9OtUCUFecRes43baou2YbSo4mZO1nUrBWL2kLWr5OunDgc29I9swY9F+/LBHY1AObbt1QPdacfNzm6vdnGtiya+dEWwzBhnNvT2L8Nj/zlgG1qIt9k0NRhDOY07NBZjhMH9nvG5snYsGIy/Z3BsfWvw6tu3nw4TNQ9GxhMN9Z75Du84/4ZT6tcb8NjYPnYLB24GWE4dh9rN5ASfratuSpV6odT6V+/XG6tfLIQ5D3FgGLZmIftD2ZiLbycoJQMxt7F+9EV+uO4/d54wIKp8PTdq0xaDu9nsqqzwy0+OlmEJHVtk9nAcJkEBGI5Aez3SPhY6EDrgSEyK46CN4pnRtiNWGWBzsu3YaWy4cwu2I+3asdToduj/aBK9UbW79vTOhQ6wtxgR3hlg6uFO8vQwo4B+oDveJWTxobT1dujaGPd7eZdOLT+7EkpM7E6znievK7CNblEiUUKldqBwmPPkyRIhJrLian7gHieVM1QKlnDaTXKEjpebhEj4rkAAJZD2h49p+DO6xCZtvxl/coOfaYvWHwShud8mI/TPGoMdiyy+tB0+bOm4fyBGBI19MR6c5Yeru4tXzIeh2KI5clp8M6D5rGMY2tBcyIg+sQtU3j1p6sz14JrQ3rQdiA8rVzYWCkfew/7jRUrt6MFbPa4taAZYfreMuEYjgYt4OLdbAiHktEU+OT0zoANDkvUGY376gtS1nbK5snYtOIy/hRrw5GNBm4mBMl4O97fhcCUgOIkCveeMxor7tv2MR2D1hHPqsju3QidAha1FCuDyM42W7H5IvdADB7w3CEhs2MppTy8ah3cfaFxnuCB2x62ojWEk7lbu+iRGNQ2yEm4KYsHmQjbDiIHQYtqHHp8digUTj8oEwiK2nCBjlNaPX8k0x7Z06CIq8hGXD5mPcnth9ZLtuDnsqqzwy0+OlmEJHVtk9nAcJkEBGI5Aez3SPhQ6JUyHxKmxLgLcvxtTvjMeLVIzH9FZ4GEb9tEQFKrUttoFD5ffOhA5PBATHjl0JAVK/UEAefNKsjwqYmlB5aIzEO7u/xJnQqwnWcXecEsh00K4FuHQv/qul1riIO1Mbv4qyeQonuj/dmV9igUmTI3Sk5Dwy2oeQ4yGBjEgga718x31TXqtXZ8zuV9Ni4XDzEMZ1WYdlNw3o/skwjG1sIzaEHcW4J1dhmbY4DVth16wn7cQQt4WOm/sx+KlN2Aw/9Js/HIPqWiw4zq+egWcmhACVnsTGVa1sxAWHAzocD69Odoz10F8S03/oizaFAIRdw5rJczHqWyOCOnXG96NqKsuVBMed2EZ0IXQANv0668M6vkD0m9UXgxpaRI0b2xeh3dAzuFGgEuavfQVN8iQyPscxOFo7dOqM32PnqBp3XEMnQoeycqgeO/FrP2Fwj++UGNb9k7EY29gPKSF0xF/fS1jYeS4mxRqauGfRYc/XfqkcLFTshDEHoUObq2UHWgUSZ0LeqWUT0O7jMKB6Tcyf3hlNRAi5cwZzBi7CjONAfOuRjPgk82xM6fFSnLWetZ7xZm0SIAESSE0C6fFM91joGLF3MQ5eP2vH4bFC5TG5cc8E3SS2/X0EHx/8BhLAVCu5fAJUHAkRPKSkhdCh1+khrjeay424igyv10FlhUmoOFqwiDWK/GeymYu7QseBa2fwwf6ViIyJtnYnmWkk3oVt6VGlGXpWaZboXnNH6EgsMGlyhI6UnEdqfqDYNglkFQJZ6uX78i70aLMN+x0O47JW1m/We3bHiUFVrCb/VpeHrjXRa/tRLLwZX2xwW+iwuikUxfTvBqBN0dhdcucM1mw8g3vIi+COT6JyrMVF3AG9Cnr1PIOFi41oMm4Q5reLs5iIt8+cCR1S6fJP6NPmO+y2EUtSR+gAgnp2x65Yho59XFk/FU0/CHVinRJ36NcsMtzmap1zPgTXD8X+A5Uw/6dX0CRWr9LWMLh+Puw/YNt3wof/I3NGotMXce5IyRM6tHH5YcSqseilJTjT9kP9fAg+EIr9brmueCB0wIBe897FiPoiqCVV6DiPOU8twAwRfWaNxdiGce5VcS5dzt2FMvMzMD1eirPUszYzLz7HTgIkkOUIpMczPU2EDgniOfm3dXapYyXF6/DHO6B6UOk0Ezq0IJ/XH9y2bp5GxavgvQZdEhRpFv6xHStO77HWF4sLGbttG+4KHSJy7Ll8wtqWCC0SS+P7i4ft4n9UyldMiUABBgcHZ5st747QIdUTCkyaHKEjJeeR5T7FnBAJpAKBrPTybRUtCgRj449t47tlxOMXhm1jJ6D/RvlmfxhaHp6iXFgcXRDcPpAj7jAf1DgYE95uiiZlEo65cW/nAjw2+DzQqTP2NTuDBuLCUr8lds1r6uBeYzPwhIQOhGDNmzMw6gDQZuooTG8RmPIWHVYxKBCDVgxDv8oGhz6KWV1Iggb0xr5eNvFMnOxdt7la5xyMCePOY9TYEKslhsREsbitFMSEceUwaux+pzE67Cw6xBIlRYWOkpgwLh9mjD2KoHf6YmP3kmq2FnHNiH7jmuHc2G3YloJCR/eeNfHD4qO4UT0YG+e3RWXfJAodiYiDcUKcAYNWjEc/12HHUuEJlTpNpsdLcVZ61nq6KnfuPsTgkavw076/sHLRm3isZils+u4ohoxahUcqFsGnU7qiTOkga7Pata4v1sOooa3h52txvbt79yFWrvsN6zcdxoW/b6DyI0XRqmU1dOnwOHLntijICd178e8bGDjsa1VH62/2Fzsxc8529bvxo59Hlxfr2U0t7H4ERo1bh++3W96vHcduWzlP7gA0b/IoXnnpCVSqUBjy5aWzPh3Z/X70H3R5ZR6ebFAR0yd2hrRjOy7H+lq9vb/85Ra/bp3qYejoNfjzL3vrd9t2bfuWL2zPnL2ORct/wY7dp1W1hg0qoHePRqj8SBE1L1dl36/n0W/wUpQvWxAzJ3VF8WIWyz6Nhztj0ebninFEZDQmTN2Cr9f+imkTOqNtq5oJ9vP4Y2XQ+unqeKFNbfj7+8DZvtT609bg7X4t0P/1ZnB3nYoVyYMG9SugR9dgj/aBtm+dsXX2GXG1Btnteno80z0WOpzFZkjMdcXdRUwLiw4RJOoWrgCxMNFKYplOnIkJYr0SGhGGi3f/s7bhjtAhwsigXQsR8vCO9T5xnRFBY+rB9XYZXURIGdegG+oULp8gvoSEDhFPbC1npIH2FYJVYFLbklShI6Xn4e7+YD0SSIjA3LlzcePGDQwcOBCffvopgoKC0Ldv3yQDu3jxIsaMGYPBgwerNqZPn47x48ejTJkySW4zuTdmpZdvd76Vt+N15xBGNVmHNbEWIC0vxsbLcHAxcftADiDy4k8YN/A7rFFxOUQRLoju3eIHCgXiRBblTtDsGibVW4aFcLAKcFzgBIWO+AEuEw5GmojVQGKuK/16Y1+JbZagnQ1bYtesprhhF6g1X/wgm4lsULe52ggdqzfnxRyxXNHcVzS3FXE5ev02mkpwWBeuK5GXf8LIVy2uK1oAWHf2TsLBSEti+uZGOPfqMszJr7knxYpet2piyVclsayNBJB1J0aHE2DWGCa2YsYwlFhqCWhqiZsSZnVPcRR1EnVdsa53Xaw+2j42oK42hsTEk+Q+edL3/vR4Kc5Kz1pPVy8xoUPa6tu7Kf7X9yl4eelV087Eipu37mPM+G/w425LaF/b8lSTyhg/5gUUyJ8zyULH88/Vwvsj2yFHjrgvAk+cuorXBy7GjZuWuEuOQoccakuVsgS9+eefm7j67x3I76Z82AlyqE6u0FG2dBCKFrGPJSg/D3v7Wez5+YwSOlzx69GtAT6btwP3wsJhMput47RtW2szdy5/bN91Ch9N2azmYluEi4hBzz1TI1GxI8ZkwszZ2zFv4W51uyY+yN8vXwnFx5/+4NZYtPlpjE0xZiXWyF6S302b2EUJZokJHZevhuLRSkXg42OwzlvG0avHkxj8Vks8DI+KJ8Bpc/ZE6NBY3n8QiaPHL6kmZIyfTXsJ1SoXd2sfaHtem6/eRlDKFeiPdwY+jRLF83n60cs29dPjme6x0OHMbUFWSIKRPle2LsTtQgJhelrSSuh4o8Yz+PTwZmvWk8QynTiOSeq+Vfs5fHv+N5y/c906RXeEDgnKOuP3jXaZahqXqIr3gruomCcS+8S2tC5bB4PrPJ8gxoSEjiYlqmH/tT/t3GOcBSZNqtCR0vPwdJ94Wl87tN67d8+tW4sXL44JEyYgTx7LP1pKNT9zBitWrMDp06cRGRmJgIAANGjQAB06dECxYsWs7Sa3L62hX375BZMnT8YTTzyhDtve3o4BCi015YC/detWvP/++6hdu7Zb83NVyd2+tXbCw8OxY8cONY6rV6/CZDKhUKFCaNKkCVq3bm3lmFJsnI0/MaHj8OHDio+zIutYqVIldO3aVf2pfQNCocPVLknedXcOq7Y9WOtrVhTWWA/2YoPbB3Kt8cjb2L8+LoOF+nWJcpj9eW+01NxZbNwxLNk64uJ1VLaxCohHJClCR7xgpEXw2ofdLbEYHIsLoePs64FY89YMjPrZgDZTB+Pli1NsMtKkttAhAk0HRIyX/i3uK7UPW7KtiMvPBJ91DplTnGdd0aacksFIBy0Zj1p7xqHHQoPFfQWWbCs3enXHrsbnUdUuO09iWVecBCNt3BlLuoqViIPwkHcX+rTZht0FSmL28pY497QlwwyFDtfPkfR4KabQ4dyiQ1YrqEAgPpncFXUfs4j+jkKHt7cX5n+1F9M++wGd2z+OwQNaIl/eHEqAmPDxFnz7/TGMHvYcenRtgM1bjykBwNEaxJVFh4zhi097omrluHevr5b9rNrXiqPQYdtHVJQRXy79WY3xmRZVMWFsB9y8GRbPisRxdyZmKaBZEzjb0bYWAK74aRYxtqKAs7avXrut2P159jrefec5tGtdU4lP0te4SZtQoli+eNY3jmMTgWTwiJU4fOwfdalD28cwdmRbZUFhW1yNxZnY9eBBJKZ88j1WrD6AV7s3xND/PQMRVhKy6JD+NOsdeecW8aTPgMVW6xm57mhppI3RE6HDluXde+F4f+JGfLv1WDwLE9vxOHJLyBLJ9dOMNYRAejzTPRY6ok1GjN+/Cr9ctZhKORaJCyGZPp4tUxuNildVAog7Ja2EjimNXsH0QxtwOlRim1uKBFGVTCeOqVilnhzstSLZZMY/8RI+PLDKI6FDmI36aSkO/3fe2pZtfBARTSTg6b2oh3Z9zWjaG/n8cjrFl5DQIeKI9LP78h929zkGJk2K0JEa83BnbySnzuXLl/HJJ5/gwYMH1maio6Nx8+ZNdbCVb/+9vOJC5xcsWBBDhgxBrly5EBMTg8WLF2PTpk3qAJ8/f374+fnh/v37uHv3Lnx9ffH666/jqaeeUm0lpy9tcFFRUZg2bRr279+PfPny4cMPP4SIL85KSgsdnvQt47l27RqmTp2K8+fPK/Enb16L2aPGR9iOHj1aWUKkBJuE9oFwkPLqq69iypQpKFy4sFoXKZrQYTs+rR1tH8jPHTt2RJcuXdReEKFD2hk2bBhu376NmTNnqnUoWdJi6p4eJSu9fFtdV+IF/XRGNiT2wA7ECQtxB9DKg/piY0/LungsdNh0d+/iISycsBFzDhoBm0CnVzbOQNOx9gFKrcJLYuNPUOiIc5tJNdeVWMuCyOOb0KnHfpwqUBO9WhzFQrEGV9fiXFcSFWti+bjN1WHOtQ5Y2HX/ZBAa/zIDfVZbLFTqH3ZMERsnDFizrqi+86J+u6bo2LKcNR2vOyJZYullRVzoFWlJUyzuKxPxlXJbEQEkLtWrOxYd7sXosIgZRhz54iN0mhOBoJ418fTioyqorkdCR2KuK5EnY62M6LqSEs/mrPSs9ZSHK4sOaU/cCd4b0RY5c/jGEzru3QtXB9ITp69i4exX1Tf5WhH3ijffXgLNImPHntMeCx0N6pfHvgPnMOqd1uoALUVzW/nzzHXkzu2PY39cjmfR4SimXLgo7jEr1HubHLClOLrLOLJLCaHDFT93hQ7tsC3uH++PaofAnJY5GJUrAAAgAElEQVSYPeHhURg3cRPWbfrdqYuP7Zy09ZA2Qm6E4catMHw2tRsqlJPI2XElKUKH3P3LgbN45c0vrWKFn5+3W0JHTIwJG7ccwfD31lrFl8goY4oLHSL0vD9hIw4evog5019Gg3rlPLLocNxTnn7Wsmv9TCF0yOJI1o3hexbFy6TiuHAietQqWBYvV26KygVKJBgHQ+5zJnS4uxGcuXo4EwK0AKi//3fOzoLCWaYTZ5lFxMpC5vK/nfPxn40LiiuLjgt3rmPonq8UN63YZnwRAWHYnkV27iuJWZqoh3tUOIbsXmgnuMjvh9R5Ho/mL4HhexdBMt5oxTEwaVKEjtSYh7trnJL1tG/sRcywtd6w7UNU5S1btmDBggUoUaKEOvTKn1LkmiiEIkiIgCLX6tat63SI7vRle+OVK1eUOPDw4UOI8PDyyy8ryxFnJaWFDk/6FjFD2J06dQovvvgiOnXqBB8fyzcBwmfz5s348ssvlcjx3nvvWUUQ23l4yiahPeAodNSqVQtt2rRR1TWh49lnn3XqznL27Fl89NFHSpwZMWIE6tSpE0/okD2Q0D5JyX2ZWFtZ6uXbemgrh9m7e6OljcXvqYVj0O4zI6AFI7UG70yAjo3YkNCB3JoaNrau78a5GLf1PlClFWYNqKIyn6hiDVJaErN/7IuWBeJEFue9J+K+kp7BSK0uFGHYPWEK+qy2SUcae80ajLRdB/w+rk4cA7FGiA166SoYqSPXyo5zxn70f3oTtjUsiCY/h2B3rKsKtiYsdMQ//NuTTwmho1/12DnmL4gmCMHuW8FY/WNb1IpnJZOYRYcnQoe8NB3FuBdXYZlNOmWPhA6bdXEMRorjm9Cgx37cAIORpsTzOEs9az0EkpjQ0aJpZeVSceDgBXw45gXlGuH47fa58yHKhaRQwVyYObkrSpXIn+AIkhKjQ9wC9v12HrkC/ZQlhhzwNbcViekgLglrNxzKkEKHO/zcETpsXU6cWXto1i0vda6PkYNbw9c3/pfNYtUyZeZWLF6xD7Ondccfp64oFxZn8U+SKnRoQopmNSPWPu7G6JBNI7xGD2+DooXzpEqMDukjf76cGDboWbRrZbGIcceFKSkWHbJHxQKn0RMVMWTg09ZYNh5+PLNE9UwjdAhtOWiLK8beKyft3DESWgkJijm0bntUKeD8W9G0EDo0QUSsJGyFB1F136zxLF6s2MA6fEcXHV8vb+VmUjJXEAbu/AK3I+5b67oSOhaf3IklJ3faodHcVrRfrv1rH+Yd22rHMrFAqYkJHa3K1sGiEzuw7PRuu/ZsA5MmRehIjXmkxyfXnQO2uGHIAV2sOsaNG+fU3OrgwYPqm39xexg1apSyanAs7vRle8+6deuwdOlS9O7dW7mDiJVEQm2ntNDhSd/bt2/HZ599hubNm+Ott96ys4qR+Qi3WbNmKbeWt99+G82axc8i5CmbxIQOsXpp0aKFWo+GDRta+3MldEib2lxkjAMGDMClS5eUW5Bwv3DhApYvX67cXwIDEw5Ymdr7OGu9fMcJCLX6vYIFvSohlxhV2aQT1WIyWC0qCvghuLzt5ysalw+E4QoMlm/jqwPWoKEFKmH2ylfQUlw+YkKwZsQMjNoOBIl7woAqwEHLN/o3CpTE9CV9rVlXrnw7F01Hi99ubBwEq8gS300h4moojlwGgiQexutOgnmmZ3pZq9ABwDHlq3bNOrdADJo/AP3qWva2MOg0+hJuIE6Ecperb7w5xwkF0raWMtWVxYU1vayTD1XKCB1i/TMGneZYBCDrGqam0CGpezWBJ3ZengkdEjTVSXrZsDOY05/pZVPy+Zu1nrWekUlM6JBvsJ9qWhkjxq5FuTIF8fFHnfDroQt2VhknT1+LF7AzoREkReiYPL4jLl2+hdXrD1rdV+Rg/8ncHzHto87K5UGCXSbmuiIHd7ln+mfb0LJZFUx4vwNCQ+8ny6LDcY62QSlt5+mKnztCh63wMGV8R2VhY1vcOYhfuXobb4/4GpGRRmXRcu36HWV9oYkSmoWItJsUoSP09gNMmbFVWZaMHCLWN09ArDISEjpuhd5Xlj4S4PX2nQfYuu0P3LkXbo01Im4mKeG60qRhJeV2JWLRkWOXsGvvn7CNG+OJ0OFsX2v7zvGaJvo0efIR9bmRGCvZtWQqoUMWSVK1SkaVmb9vwuWwmy4FDxEU2pSti741W8VzaUlLoaNGwdLxXElqFyqn3Fe89Rb1c8pv6/HD34ete1HS4E5r0ksJPJ4IHQ+Nkcot5UzoVWtbztLaOrOWcGZpojXiSuiQ68P2fIW/bl+z+zxpgUk9FTpSax7p8WF354CtHX7bt2+Pnj17Og3qFBERoQ7Wx48fV2JIlSpV4k3Hnb60m8SKQ4JeSjwRcZXYuHEjvv322wTbTkmhw5O+bec9duxYVKtWzekyavE+NAHB1kVIbvCETVL3iTtChzaOihUrKusccU/KaCXLvXxf24/BPTapQJOOJS4mQ1yGElsXFUv9uEO0JmD4yu9GT8fgby0H2OLl/RB5LgI35AcVH6EvWiqr3NvYNnY6+m+MrVc9H0o8vIf95yw/13qnL1Z3Lwmr1YMTFxXrobVATSzZ0hnBjgmyrIf+WJEk8h72H4+1rKgejNXz2qJWrG5jtUSJF6NDRlMDI+a1jJ+ZxmWMjjjxxXpAluZsRJArW+ei00gRNRyLAW0mDsb0Zy2uaIq1O1ydiDtxh/s44SRFhI54wheA8k0x7Z06cMtixGoFYWOV45HQ4SRGB4DKXd/EiMYhCQQcvYSFPeZi0nELVU+FDkRewrJh8zFuj42FjrZ0Dnsqoz2/kjqe9HgpznLPWg/guxI65NvvL77ag7kLdmH4oGeRL19ODB+zxhpnI7WFDrFgqFWjlMoUIkFRX3y+jsq2ci8sQsWqmDT9O6cZY5whSM1gpLZBKW2FB1f80kro0MakuRGJqCDxOiQoqGP8E3eFDmeMn21RTbk5SfDZxIKRyr22GX2On7iMN99eqmKNTJ/UBTkCfFJE6LC1gLG1atFcoTwROpwFIx0y4Gm72DEaE+nrzLnrKFggl7J2ys4lPZ7pHsfoSGiBLt27gWWndmP/v39aA306qytihxy2+9Z81s6VJS2FDslm4hhUU3NrEUEjNOI+Bu1agCthcW/h3R5tjF7VWuDa/VCPhA5n85JYH47xN5zFv3BmaaIxdSV0SL2frpzCxF/XOA1MKus17dAGuyVKzDIlteaRHh94VwdssUYQa4WdO3cqqw5xZ0iorFq1Sn3j36dPH6u7hG1dV33Z1v3jjz+UqPHcc88pcUXcQkRI0H52TBeWkkKHJ32HhIQo9xq9Xo+JEyc6dUuReUkMDHHtEYEjZ86c8cQiT9gkdZ+4I3SI1YZkWRHLHAodSSWdhPtunsGyL77Dsp0hOH8TKF69KJo82xKDulayuFJYXUnywRII1L6POEsDG7Eh5jb2r7YJMFoiEC2D66B3v5aoZRcUPwJXft6LhWv244c9IobIwbUU2nZthV7NisLXJgWtYxpbNQprJhgD+s0fi0F1HcyDHS0pRHiJnV+/TpWsMSekqYSzrshVLV6EA18PhA5EnsecHgsw44y90CEt3ji4DXOWxTGo1aIc2nbrgO61HKyX3OHqzIpF42TjIpMiQoez7eaRa0xsrBRo2VcAcQGp4HYwUuf73WK1EppgZhVr3JSkCB3SpcM6BJXPhyZt2mJQd/s9lYRPY4a8JT1eiil0OA9GqsUk+PffO8r6IdoYg/p1y2L5qgNWoUNzXdEOqHIYTKgkxaJDDqqd2tfFO6NXK/cVGdM7765G98710bVjPQwZtdqp0OF4KK1YvpBqR7JwpER6WXeCkbrDzx2hw5Xrysq1v2LMhxuQkOuKbRwP7YBvK0JoFhja+6a7QofGWA71p8/8i0rlC2PG5C7K9USKJ0KHWIQMGrlSxWMRK4lyZYJSXOiQMX2z+TCG2Qh12t6Wa46plLV97I7FTIZ8mGaQQaXHMz3FhA6NoVh5/BV6TWUSccz+odWReBHD6rZH81I1rOidHaTFomFMcGdICtjEiqT3yecXaGcl4kwIEGuN0cGd0LBYZThLkyoZWTpVaogdl45h8q/rrGlaJX3uxCd7qCCrR0MuYMzPyyEWDlpJTCBwDGgq9zxdujaGPd4+3pScua88mq84pjZ5Df4G+0jI7ggdshYf7l/tNDBp4+JVVfYZ25Ie80iPz56rA7ZmsfDXX3+5TCuqWS0kFAPCVV/Wz43ZrAKfigWHZiWhWVlIQEyx9JDgnrYlpYQOianhSd/anMqVK4eRI0cm2QLCXTbJ2SOuhA4tnojE4WjVqhXeeOMNt/LPJ2dMSbk3O798J4UX7yEBEsj8BNLjpTg7P2tdWXSMGtoavj4GLPl6Hz6c8q11g2mHeC0Y6YW/b2DezJdRvWqcOr3lh+N4e/jXLoORnvnrOt56Z7nK1iLf5ssB2jazRr8+TZVFybJVB1TgzGMnLqvAp84Ow+4eSt35Jj+5wUg1Ronxc0foEOgJBSO1FROcxduQe8+e/w8Dhq7A+QshTh8QmjuP5l7hrtChzU/cYSS98Nbtf1gz7Iho4onQEXLjnjWo7aK5r6F0qQJOhQ5b0UcTbTxZJ0dR6Nq/t126MLm7pzL/0zd1ZpAez/QUFzps0chhfPHJHdh8/iCMphg7ao4H+LTIuiIDkGCdEsNCRIAP9q1UMUa0oo1p6sH12HP5RLzfi9jgyTidBTT1dOvYiiyObBMKRirz08rFu/85DUxas2AZNRd3hI7UnIenPFKivqsDtidCh6uDtKu+tPncuHFDWRXkyJHDLh6EFjdj+PDhCA4OThWhw9O+U8rVw102yVnzxNZHhKQff/xRxUSRIgJT1apVk9Ndqt2bnV++Uw0qGyYBEsjQBNLjpTg7P2vdETrkMC4xFd79YD0k9oAU7ZArASc/m7dDCRPdOtXH4LdaqngE/4XcUxkuftx9yhqz4Y+TV5R7Qq5c/iq4qWRoiY6OwfxFezFzzna7dKfOUoj26v8VJI2pBHiUuAdymHaM4+DuoTQthY7E+LkrdDhLL2sweGHz1qMYO2Fjoull13xzSLn7OFq5GI0m/PnXv8pSxzZjjqdCh8xB1lksbcqXLYiZk7qieLG8bgsd8uWTpCEWqxSxChGxKyh/TmvwVMm2M6h/C5UG98zZ66ofcbnRMqe4K3TcvHVfCTIy1qS4rniSdYWuK3H/zKTHM90joePUrUvxYj7k9c2JBsUesca2cPxXUwSF2Ue24JuzB+wuibXGzGZ9IAEypXgiILjzL7M7Fg+Olhs5vf0wqE47fH7sB4TYZFXRLD08Hadj++6M21kdzW0mKUKH3OMsMKmzfhKy6EjNeSSVSXLuc3XATg+hQ9LJTp48GV27dkXnzp2t0zt37pwSQGrWrInBgwfD29vbei2lLDo87TszCh2J7RcJItu/f38VxNTRPSg5+ywl783OL98pyZFtkQAJZB4C6fFSnJ2fte4KHbKDtMOsiA22hz7bA6TjTrMN/ChpRBcu+QlTP/leVStXtiBu3bqvMmzIIXzaxC7W9LSOQocErJQD7t5f/rIKJ84CVnoqdMiB+dFKReyyYmjxNkJuhsULtKqNS1xgijq46cjPw95+VgVIlYwbjgfjhPgJC1figtTZvusUPpqyGZIm1bbkyOFrDeLp+D4ja/X+xI3Y8O0RKzdnLir9X2+GAW82h5de73IszhhL9psPJm1SriESt6LPq42UiJVQMFJb7uK2cupPS2xBiQPz6ssN1TjOXwxRKWclfbAELc2fP6fVKuXlLsEqe4qILIkJHdo6aaKO7LUa1Uoooax0yQLWrCuJ7YMjxy+p9XQWo8M2NovtmjAYaRyN9HimeyR0iDvK58csDyWtOIs34fhwcyZiOKaETQ+hw1ksjkp5i6m0uTFmk5qGY0BQd8fpzGIkqa8XkulFYnrIWLTijpBjW9dZYFLH8TgTOlJ7Hkllkpz7UlLoSAnXFUkjK6lqJaipuKiUL1/eOj3t2pkzZ1SAUskuopWUEDqS0ndmFDpKliyJGjXiXOU0hhUqVFAxWCSGSEYu2fnlOyOvC8dGAiSQegTS46U4Oz9rPRE6bA/jjod4Oayu+eYg1m86DHFjqfxIUbRqWQ1dOjyO3LnjsmfJN92S+WLFml+x79dz6vDYoH4F9OzWAJUqFLZuLEehQ771/2rZL1iweK/VRcaTsTvuWM2iQywaHIuWQSX0zsMEhQ5nn4AnG1TE9ImdlRjjTOhIjJ87QocwEIuGRct/sVrWNGxQAb17NELlR4o4/dJGC/KZI8AXsz5+CZUqxjGWOWzbcRL9hyxDg/rl8fGHnRBUIDBJQoe09fP+s8oFSeK1SLyLIkXyuJ1etkG98ujWsR6aNnoEPj5x8a/EkkVS4m7bcUIJPI8/VkalOX6hbW2rOJWY0GG7TrLXWjavqvZasaKWwNvu7IM/YlPFOltz22w7tteZXjaORno80z0SOpx9s5+Qa4XtImdUoUPG6CyGhu3YHbOxuCt0SCBTCWgqYkpyi5batn7RStamPBE65CZngUkdx+VM6EjteSSXTVLudyV0eBKMVDKjLFy4MFnBSK9cuaKCe4aGhiY6HceApykhdCSl72vXrqnx+vj4ZIlgpEnZQ2l9T3Z++U5r1uyPBEggYxBIj5diPmszxtpzFCRAAlmPQHo80z0SOpwF8JRlKJ+nCCY3fsXO4kBbHrGM+PjgN9j29xG7FcsIrisyoAPXzuCD/SvtMpNoAxWTrkGPtUNrm5gX7godzgKLFsuZHyPrdURu3zhF23EbC69pBzfgj5t/211qXKIq3gvukmShI6HApLadOBM6Unse6fExdiV0yJjcSS+rWUP8/vvvyUovK3E4JBho/vz5nQb2FOFF4mhI+tpRo0ZBXC2kpITQkZS+JbbFhAkT8OeffyY4bxlfZkkvmx570NM++fLtKTHWJwESyOwE0uOlmM/azL5rOH4SIIGMSiA9nukeCR0Cbt6xrZDDr5hN2ZZAH380LVFNZVKRDChSTtz8B9+c3Y+zd/6NV98dSwl3s65o45DsK0EBueGl08Ndi4fEAm1KtpcZTXuhcA6LWZMUd4QOZ6li5V5HsSKhjejMRchxLO7Oz7YPZ4FJba87Ch1pMY/0+DC6I3RcvXpVpZYVkUH+LFu2bLyhSqBLSa8qaUltBQg75hcvqhgbuXLlUuJAnjz2GYQ00UAsKxxdU7R2JE3r9OnTcfDgQTthIblCR3L63rx5M+bPn4/mzZvjrbfeUilkbYtwmzVrFnbs2IG3334bzZo1i8fPnXVI7v5wFSw2ue2n1f18+U4r0uyHBEggoxBIj5diPmszyupzHCRAAlmNQHo80z0WOkQYGL5nkYpjkdQi8TnEOqFekYqJCgietm97UPdECJBgqevP7o/XXaPiVfBegy7QQZfoOB0FAgnaOnLvEtyPjrDeJ+LLO3VfQMvStVxO6/yd63hn95e4F/XQWtfRusST+dl2mFhg0vSYh0sYqVDBnQO2CHlbtmyBpB0tUaIEhg0bpv6UItdOnjyJGTNm4N69e+pa3bp1nY7UVV9//PGHEi8ee+wxDBkyRLmDOCs7d+7EzJkz0b59e/Ts2VP5XyZX6EhO3zLvDz74ABIstXv37mjbtq117MJn27Ztip081EQoEqHHsSTGRqxlLly4oGKSJCd+BoWOVPgAsUkSIAESSAMC6fFSTKEjDRaWXZAACWRLAunxTPdY6JCVuRUehvH7V8Vzr3Bn1Qx6L/Ss0gxdH23kUkBwpz3bOkkVOsTyZORPS/AwOtJOmBherwOal7QPYOiORcfCP7Zjxek9dsPP55dTBRSV4K2uSrgxCkN3f4nToVfsqtpawSRV6JD7EgpM6ih0pMU8XLFIjeuuxAetT7FKWLlyJdasWQOTyWR1LZGsLLdu3VJWDBI349lnn00wW0difYkgIC4r69evT9DqQRtLSEiIioshWVfE8iNv3rxWoaNevXooWLCgU1RFixZFy5Yt7bK1aGJNcvqWNuSFcNKkSRDrl9y5cyvLFmEjv7979y6CgoLUmMuUKeOxCKS51DzxxBPxss14sicodHhCi3VJgARIIOMQSI+XYgodGWf9ORISIIGsRSA9nulJEjoEu8SSECuI5ad2KzcRd4q4X/St+QwaFa8ar7ozAcGdNlNC6HhojFQWFGdCr1qbSyibjCuhIyEBwtFVx9XcFp/ciSUnd9pVy+UTgI+bvIZyeQq77ZrjrJ+EApO6IxSl9DxccUiN6+4KHZogIBlPRIw4cuQIIiMjVYyM2rVr46WXXkKxYsUSHWJifUncDXFrEesFES9ElEioiOgyZ84c5QoyfPhwBAcHW4WOxAYgGUXE4sTPz8+uWnL71hoLDw/Hhg0bIBYn//33H/R6PQoVKoQmTZrg+eefh7+/f4LDS4zNrl27MHv2bDz33HN4+eWX47nGuLsvKHS4S4r1SIAESCBjEUiPl2IKHRlrD3A0JEACWYdAejzTkyx0aNhF8JDD/7a/D+PEzUsQ1xajKUZdFusNibNRtUBJtCxdG3UKl1fxM5yV9BQ6ZDyOwoIEIB1c5/l4Q3UldCQU3PSNGs+gU6WGbu9WZ1YmcnO3RxujV7UWyRI6EgpMait0pNU83AbCiiRAAiRAAiRAAiSQigQodKQiXDZNAiSQrQlkSqEjW68YJ08CJEACJEACJEACJJAlCFDoyBLLyEmQAAlkQAIUOjLgonBIJEACJEACJEACJEACWZ8AhY6sv8acIQmQQPoQoNCRPtzZKwmQAAmQAAmQAAmQQDYnQKEjm28ATp8ESCDVCFDoSDW0bJgESIAESIAESIAESIAESIAESIAESCA7EEh2MNLsAIlzJAESIAESIAESIAESIAESIAESIAESyBwEKHRkjnXiKEmABEiABEiABEiABEiABEiABEiABNwgQKHDDUisQgIkQAIkQAIkQAIkQAIkQAIkQAIkkDkIUOjIHOvEUZIACZAACZAACZAACZAACZAACZAACbhBgEKHG5BYhQRIgARIgARIgARIgARIgARIgARIIHMQoNCROdaJoyQBEiABEiABEiABEiABEiABEiABEnCDAIUONyCxCgmQAAmQAAmQAAmQAAmQAAmQAAmQQOYgQKEjc6wTR0kCJEACJEACJEACJEACJEACJEACJOAGAQodbkBiFRIgARIgARIgARIgARIgARIgARIggcxBgEJH5lgnjpIESIAESIAESIAESIAESIAESIAESMANAhQ63IDEKiSQ3gTCw8MxaNAgfP755yk2lDfeeAMzZsyAv79/om2GhIRg8+bN2LZtG3799Vf8888/qn6tWrVQo0YNtGrVCk8//TRy5cqVYmNjQyRAAiRAAiRAAiRAAiRAAiSQVAIUOpJKjveRQBoSSA+h48GDB5g5cyamT5+O0NDQRGdbqVIlvPfee+jQoQN8fX3TkAy7IgESIAESIAESIAESIAESIAF7AhQ6uCNIIBMQSA2hY9q0acpKRKfTxSPw33//YcCAAVizZo1HdEaNGgX5P0eOHB7dx8okQAIkQAIkQAIkQAIkQAIkkFIEKHS4QfJm+D18f/EwfrpyEv89vIP70REwm80YUud5tCpbx40WgLCocHx38ZBq5/qD24iKMar7cnj7oWLeonihQjDqF60EL53erfZYKXsRkP127949GI2WfZOUIu4nr776qrr10UcfVSJGlSpV4jUlosqwYcMwa9Ys67V8+fLhf//7H1q3bo3SpUvDZDLh5MmT+OKLL/D111/btTFlyhQMHjwYXl5eSRkm7yEBEiABEiABEiABEiABEiCBZBGg0JEIvkthNzDz9004fuNvJWw4FneEDjPMStyYc+Q7PDRGJrpYpXIVxJjgziiTu1CyFpU3k4Ajgdu3b6NXr1745ptv1KWBAwdCBAlnbiY7duzACy+8gLCwMFW3Xr16mD17Nh577LF4YEXwWLFiBfr162etn5iIwpUhARIgARIgARIgARIgARIggdQmQKHDCeEYswlf/fEj1p3dZ7W8cLYQ7ggdG8/9ijlHv4PRFOPWWgb558LERj0pdrhFi5XcJWArXhQpUgQbNmzA448/Hu/2qKgojBgxQgUplRIYGIilS5eiXbt2CXYlViaTJk3CmDFjrHXmzZsHCXbKQgIkQAIkQAIkQAIkQAIkQAJpTYBChwNxcSmZdeRbfHfxd6dWHLbVXQkdJ27+g9E/L1NuK56UyvlLYnLjnggwMKijJ9xY1zkBCSr61ltvYdGiRarCK6+8otxSnMXREMuPl19+GVu2bFF1n3nmGSV0FChQIFG8x48fx4svvoizZ8+qemLhITFA/Pz8uCwkQAKZkMDFixfx77//okGDBskavTx/9Hq9y+xO7nQibYlLXHKfKynZTkrMLaXGIwylLYPBkOyg0CnZjmT2Ek4sJEACJEACJJCWBCh02NAWN5O5R7di/dn98UQOCdhYwD8Xnij6KOoVqYjigQWQ1y8n/A0+Ttcr2mTE+/u+xoFrZ+yu5/HNgR5VmqFu4QqIjInGhrMH8P3fh+0sPiROR/9ardGufL203AvsK4sS+O233/D888+rQ4uUdevWoX379k5nK6lju3Xrhn379qnr7qagvXXrFl566SX88MMPHt2XRZFzWiSQ6Ql8//33Kg7PkCFDkjUXCWwsB+/8+fMnqx25+erVq8iZMydy586drLauXbuGgIAA5MmTJ1ntyDNVRJe8efMmq53r168rYSK57cggLl++rPgkN923tCN8xKovOeXKlSsoXLiw2gMsJEACJEACJJCWBCh02NA+/N95jN23Ag+j7WNp5PcPRL+ardC4RFXoED9DhbMFO3/nOt7Z/SXuRT20XvYz+OC94C5KKNGKiCuzj2zBN2cP2DVTu1A5THjyZXjr+XKQlh+IrNZXZGQk3n33XWVdIeWpp9ZhUOsAACAASURBVJ7CkiVLIO4rzgqFjqy2AzgfEkgaAQodrrlR6HDNiEKHa0asQQIkQAIkkDoEKHTEchWXlRE/LcaxkIt2pCUw6PiGL6FIjnwercCWC4cw4/eNdpYh1YNKY0rjV+KJFxfuXMfQPV/hTuQDax/5/HJiRtPeynKEhQSSSkC+ke3YsSNOnz6tmliwYIEKSppQuXv3Lnr37o21a9eqKuKOIve4+gbVUSCRtLUSt8PHx7nFU1Lnw/tIgATShgCFDtecKXS4ZkShwzUj1iABEiABEkgdAhQ6YrmKi8kH+1cqdxKtBPr448OG3VG1QCmP6U/5bT1++Puw3X2dKjXEGzWeiddWuDEKQ3d/idOhV6zXxJJjdHAnNCxW2eO+eQMJCAHJFCRBRTXTc8meIqlgy5QpkyAgueejjz6yBhYVy4+VK1eiUaNGiUJdvnw5unfvbq2TmHsMV4cESCDjE6DQ4XqNKHS4ZkShwzUj1iABEiABEkgdAhQ6Yrk6EyZal62DwXWeTxL5EXsX4+B1S2BGrSQWvNTT+kkaFG/KVgQkmGDXrl3x66+/qnlLVpSxY8eqYH6JlTNnzqBz5844duyYqiYZVyS9bLFixZzeJg8RsQLR+pHUtJ9//jmCgoKyFW9OlgSyEgEKHa5Xk0KHa0YUOlwzYg0SIAESIIHUIUChA1BxNAbvWoiLd/+zUpZ4GuMadEMObz98/eceHL/xtzV7ilh61CxYBq9Va4GSgfEPc5JlZcjuhZA4He4KHWJNsufyCbv67SsEq6CkLCSQFAILFy5UAoSURx99VFlmVK9e3WVTYtUhlh9vvvkmwsLCVP26deti5MiRaNKkiQqYJ3UkyOCaNWuUCCLiiJQaNWpg/vz5qj4LCZBA5iVAocP12lHocM2IQodrRqxBAiRAAiSQOgQodABKkHAMHFo4R148kq849lw5kWCaWR8vA8Qd5ZWqze2ClCZF6JCApJLtxbZQ6EidTZ8dWpUX8B49euDHH39U0x04cCCmTJnidspBETI2bNigxA1NxHDF7YknnsCnn36K2rVru6rK6yRAAhmcAIUO1wtEocM1IwodrhmxBgmQAAmQQOoQoNAB4Oerp/Dh/tWQlLCeFoPeS2VksU0FS6HDU4qsn9IE1q9fjw4dOqhmJT3gN998g+bNm3vcjQQx7du3L/bs2ZPovX369FGZXZKbitDjAfIGEiCBVCEgQseiJZvR8pkXk9V+WNg96PVeyJEjR7LakZvv3LkDPz9f+Pn5J6utu3fvwMfHF/7+yWzn3l14G7xVqtrkFAkC7e3jjQD/5LUjY7h9+7aal6S9TU6RdmRekvY2OeXOndsY2K8t08smByLvJQESIAESSBIBCh0AvrtwCNMObUgSQHWQdAhaSqEjySh5YwoQkBfUN954Q7mVSJGYGeLGIi4n7hax6Ni1axdGjBiBgwcPunWb9PPxxx+jbNmybtVnJRIggYxLQISODyYuxqHj7qVUz7gz4cjSk8CkcS9S6EjPBWDfJEACJJCNCVDoSEToENeUlqVroUPFBgjyz42/Qq9i4R/bcSr0cjx3FtvApRQ6svEnKgNMfceOHUrc0OJreJoBxVmMjkqVKuHVV19F69atIZlYTCYT/vrrLxX3Y/Hixda+JEbH3LlzERwcnAFIcAgkQAJJJUChI6nkeJ8tAQod3A8kQAIkQALpRYBCRwJChwQjHVWvI54o9qjd2kTFGDF23wr89u9fdr8vHlgAM5r2Rj6/nCpoqafBSBmjI70+Almr3/DwcAwaNEhlPZHy1FNPYcmSJUqccLeIm0rPnj3xzz//qFs6duyo0tQ6y7oiosi+ffvQv39/a5YWSWO7dOlSVKhQwd0uWY8ESCCDEaDQkcEWJJMOh0JHJl04DpsESIAEsgABCh0JCB2PFSqPyY172gUZ1db7xM1/MPKnJXgYHWndAjm9/TCxUQ9Uzl+SQkcW+GBk1in89ttveP755yFB8qRI3AwRPnQ698zPHd1eJMDosmXLULp06USROIojo0aNwrhx4+iXnVk3Esed7QmI0DF+4mIcpOtKtt8LyQFAoSM59HgvCZAACZBAcghQ6EhA6KhbuAImNerplG1oxH0M2rUAV8JuWq9r6WjrFC6fJKGD6WWTs415rxAwGo0YO3YsJkyYoICIG8mqVasgbifuFke3lwULFqBXr14ub4+MjMSwYcNU1hUpks5WYoRUqVLF5b2sQAIkkPEI0KIj461JZhwRhY7MuGocMwmQAAlkDQIUOgD88PdhTD34jV3cjcQsOpy5ptgKHbI1RuxdjIPXz9rtkiF1nkersnWc7hxP62eN7cdZpCSBkydPKjcTyZQiZcyYMUr48PLycrubiRMnQqwxpIjrydq1a1G9enW37t+0aRPatWtnrSvxOzp37uzWvaxEAiSQsQhQ6MhY65FZR0OhI7OuHMdNAiRAApmfAIUOAEdDLmDMz8vx0BjnilImdyFMb9oLuXzip3tzZdEh22LKb+uVgGJb2lcIRv9arePtmnBjFIbu/hKnQ69Yr3nrDRgd3AkNi1XO/LuMM0h1AhIrQ+JoDBkyRPUlMTk2bNiAxx9/3O2+IyIi1P1z5sxR9zRo0AArVqxAqVKl3Grjl19+QcOGDa11xbJk5MiRbt3LSiRAAhmLAIWOjLUemXU0FDoy68px3CRAAiSQ+QlQ6ADgTLgI8PbFxCd7oGqB+Ie8Q9fPqYCkEcYo6w7I45sDM5v1QYnAAup3Wy4cwozfN9pZiVQPKo0pjV+BiBi25cKd6xi65yvciXyQYHuZf6txBqlJ4OLFi+jatSt+/fVX1c0rr7yCWbNmIUeOHG536xjItEmTJli+fDmKFi3qVhuOQscHH3ygrEpYSIAEMh8BxujIfGuWEUdMoSMjrgrHRAIkQALZgwCFjth1nn5ogxInbMvjRSpiXINukDSzWkko68qj+YpjapPX4G/wUVWdiRfi3vJecBfUK1LRrp95x7Zi7V/73BJFsse25Cw9JbBw4UL07t1b3RYYGKhcTlq2bOlRM2IVIgFE5X8p1apVw+rVq/HII4+41c727dvt+pS0sz169HDrXlYiARLIWARo0ZGx1iOzjoZCR2ZdOY6bBEiABDI/AQodsWsomVRG/7xMBRLVimSqqJK/JN6o8TQkfeyVsFv4/Nj3OHnrkp0o4aXTK5eUduXrWe81w4wP9q3E3isn7XaJWH70qNJMuaREm4xY+9cv2Hz+IIymGGs9Z+1l/q3GGaQWgZCQEPTp0wcSI0PKCy+8ABE+8ubN63GXkpb2zTfftN63bt06tG/f3mU7IpJ89NFHdhYc27ZtQ4sWLVzeywokQAIZjwCFjoy3JplxRBQ6MuOqccwkQAIkkDUIUOiwWUdnlhXuLLOklJVUtAEGX7vqzsQTd9qrmLcopjR+FYE+/u5UZ51sTmD9+vXo0KGDlYK7mVKcYfv999/Rpk0ba3paCS4q4kehQoUSpSwBUMV15tixY6qep/E9svkScvokkOEIUOjIcEuSKQdEoSNTLhsHTQIkQAJZggCFDptlFLeUDw+swr5r/2fvPKCjKr4w/gGR0EnoRYREqkoJqCAoEvAPKIiKCgJKEVQURKVJFZGmCKjYEaQqNpQiKkoAFQSlBqSKFCNI750A/3MHN25Cktnydt+83W/OyQlk583c+d1J9u337r2zKVXERmaelkiPobc+nFKbI23fWVt/xTtrvkkVsZHZeIVz5sOIuu0gxVDZSEBH4NixY3j66acxZcoU1bVOnTqYNm0aypQpo7s03dflmNj+/ftj9OjRKa8/+eSTeOWVV1RKTHpt586d6NKlC+bOnZvy8uuvv45u3bpBoqLYSIAEnEeANTqc5zMTLabQYaJXaBMJkAAJhAcBCh1p/Hzh0kVMXDcfM/74BSJ8ZNTkA5wUF+1fswUK5kz/A6BcKyks321fhXdWf5PqVJf0xi2drwgG3tKSIkd4/O5ZssqEhASVqnL8+HE1nggUzz33nF8Cg0RndOjQIaWwqYwr9To6duyoanAUKVJEzbVjxw588803Kk1GxA5X8zQKxBIAHIQESCAgBCh0BARr2A1KoSPsXM4FkwAJkIAxBCh0ZOCKA6ePqfoZP/+9AfJvqaEh4kb+7LlwfaFr0Kri7ahU8GqPHSm1P77ZvkKJHntOHk4RUXJflQPX5CuM+8rVQr1SlSH1OdhIwBMCEn3Ru3dvjB07VnWvVKkSPv/8c1x//fWeXJ5pn6VLl0IiOVypKJ4O2KRJE7z99tseH0nr6bjsRwIkEFwCTF0JLu9QnY1CR6h6lusiARIgAfMJUOgw30e0kATSJfDbb7/h3nvvTamnIakiI0eORGRk6loxvuJLSkrCgAEDUtJiMhunQIECKn2lV69eGaa4+GoHryMBEgg+AQodwWceijNS6AhFr3JNJEACJOAMAhQ6nOEnWkkCqQgkJydj0KBBGD58uPp58eLF8cknn6Bu3bqWkpLTVCQtZebMmVi4cKGK8HClqVSoUAFxcXGqeOkdd9yRktJiqQEcjARIwBYCFDpswR5yk1LoCDmXckEkQAIk4BgCFDoc4yoaSgIkQAIkQALBIUChIzicQ30WCh2h7mGujwRIgATMJUChw1zf0DISIAESIAESsIUAhQ5bsIfcpBQ6Qs6lXBAJkAAJOIYAhQ7HuIqGkgAJkAAJkEBwCFDoCA7nUJ+FQkeoe5jrIwESIAFzCVDoMNc3tIwESIAESIAEbCFAocMW7CE3KYWOkHMpF0QCJEACjiFAocMxrqKhJEACJEACJBAcAhQ6gsM51Geh0BHqHub6SIAESMBcAhQ6zPUNLSMBEiABEiABWwiI0DFkxGQsX5vFlvk5aWgQoNARGn7kKkiABEjAiQQodDjRa7SZBEiABEiABAJIgEJHAOGG0dAUOpzr7DV7t2HuthVYs/dPHDp9HPkjc6NKkTK469qbcHPx8s5dmJ+W799/AD8kLETiut8h/77qqqsQG1MGtWrehNtvq+Pn6LzcJwIrVwLvvgv88AOQlARERQG1awPt2wMPPODTkLwoNAhQ6AgNP3IVJEACJEACJGAZAaauWIYyrAei0OFM949P/B4fb1iUofH3lb8FT9e425mL88PqJb8sw4RJU3Hx4sV0R7nh+kp48olOyJ0rlx+z8FKvCLz6KtC7d8aXPPwwMHWqV0Oyc+gQoNAROr7kSkiABEiABEjAEgIUOizBGJKD3H7rdXj5pdaoWrk0IiKy4cTJM5jzzUp07T4Bx0+cSbVmCh3O2wJTf1+Aievmaw1vUfFWdI67K8N+f/zxB4YOHYqvvvoKJUqUwJNPPolOnTohd+7cOHjwINq0aYOBAweiTp3/oiDk5127dsWLL76IQoUKpdsn7YRffvklpk2bhgkTJiA6Olprt68dEtf+jtfGvq29/LpKFdG7xzPp9vvoo4/wsHzwTtMWL16MkydP4u2338b777+PYsWKqR4bN25Ely5d8Morr6j1yWvpNbl+wYIFeOGFF1K9XLVqVXz66af47LPPUr0WFxeH9u3b47HHHsOpU6cU5wYNGqB79+7Ili2bGsPdFxUqVFDizty5c/Hqq6/i559/Vv379OmD+vXrI2vWrOqaNWvWYPjw4ZD3j7Q+14LzpYPw6NxZf2XbtsDkyZn2O3z4MDp27Kj807x585S+mzdvRsuWLZGYmKh+VqBAATRq1Ai9e/dGtWrV1M+SkpIwZMgQzJgxQ/2/Q4cO6NmzZ4ofT58+jQ8++ADvvPMOZLymTZuif//+qFmzJrJkYXqo3oG+96DQ4Ts7XkkCJEACJBDiBM6ePatCk103cvL/AQMG4JZbbsF9993n803KpUuXMH36dPz999/q5jIiIsIrkufPn1dze3udp5MwdcVTUuHVr1zZ4pg+sRvKly2Br+b8hiVLN6Nt67qoXi0GH0xKwDO9JqUCQqHDWfvj7+MH0fbr0R4b/U7Dp1Cx4NVX9BeR4/HHH1d/2+68804cP34cb7zxBk6cOIFhw4ap71YIHSIO9OrVS30Ifemll9SH70C1AYOG4u9duzwavk2rFvhfg/gr+orQISLBa6+9hpw5c6Z6PTk5GYMGDUK+fPnQo0cPyN94+TBdtmxZdOvWLeW9Rj40P/fcc3jkkUdSiUTyQVuaiEdpW9rX/vnnH/Tr1w+33nor7r33XuWLTZs2QexzCU9phY5PPvlEvT5mzBjExsZi69at6sO8iFf33HMPduzYgWeffRbPP/+8+gAvdoooIgKJrMsloHgE0JNOx48DV18NHDvmSW9g5kzgnnsy7JuQkKDEIBGHxG4R5KSJMCH8x44dCxF8xE8i+IhwIV9yb/DMM88ocUS+xG8ivC1btkxdExkZidGjR+PIkSPKn/nz58dvv/2mmAjL66+/3jP72csnAhQ6fMLGi0iABEggvAi4bq5cT5TkhlJulOLj433+sG86wTNnzqinLu3atUOVKlWUucuXL1c3MPJ00h+RQW4i5Wb36aefRtGiRb1GIU/45IascePGXl/ryQUUOjyhFH59HnqgDt4c3QGrE3egYbOhCsAd8ZUx4d0ncfDgcVSv83wqKBQ6nLVHJq9LwOTfEzw2Or0UFhFxRczIlSuX+kDuemItT8zl76YIE2XKlLFE6JAPjPKeJGKKCAgjR45UHyytbhs2bsLI0W94PGzp0tdg8MC+V/TPTOiQziIWPPHEE+oDt0QJzJw5E++++26qSBUrhA6ZS2zZtm0bnnrqKeUL8Ym8L0nUQeHChVNFdBQsWFAJGvKef/PNN6esS/i//vrrykb5QCm+kKiUvHnzqj4ihrz11lvqQ73l0TbjxgFPPOGxT3D//cAXX6TbXx5giAhx22234dtvv1U+cK0zrdAhA7iLQCtWrMDatWvVnnfdExw4cEDxEtEpT548KvLlzTffxNUizABw/Y6ImCK/I2yBI0ChI3BsOTIJkAAJhAyBtDdXcoMkN6zyxM499NjEBcsNnTS5mbOjyU2RCCZyIyQ3jE5oTF1xgpeCb6NL6Fi5ehsa3ztcGRBf93pMfO9JHDp8kkJH8F1i6Yx9Fk3Cb/9s8XjMSgVL4e2GT6bqn9EH8QsXLqgPfvIEWwRafyM65MOiiMXyhPyuu+5S0QQS1SFP3a1uc7+dh89nzPRq2HHvjEX27FelukYndEjnWbNmqfcKaSI63HjjjR7x9Sai46+//lK8RMSXqA7xhXzQ/+abb5TwLu/rEoHgSiMSAySdSEQL9/ew3bt3K7Fe0lUkpUNEExFMRNCS765ISK/Aedr5sceA8eM97X05+kMKlabTtm/frt6jJfJCGEjEi/xfRLr0Ijo+/vhj1U8EHmEiES4Z3V8sWbIEU6dOTTeKx3Pj2dNXAhQ6fCXH60iABEggjAikd/MqT3O+/vpr9bRGhA8JWZ0/fz4eeOABDB48GKVKlcL+/fvVDYOEvd5xxx0q11huiNw/+MuNgOQXS67vpEmTVKjr559/rsJB5aZV8ryzZ8+unhTJE5eMxpQw2tKlS6sxJNxX+rvnJks4qTz5k5uZ9957DyVLllT//t///pfumPL0RdYmebvly5dXN6DypO3YsWPqKYyEZq9atUrNJzdE8rrk98rNtnvYqyu/V/J65Ub30KFDKaweeughdVMr+eju4/ft2xetW7dWHCWU+Yt/n0S5GMhNrfASkUnCxF3sXeNJmHB66/R0y1Lo8JRUePXLmycHvp89ANfGFsOIUV/hsy+X4pWX2uDeu2/ChCkLmLri8O3wbMI4rN23w+NVlM5fBBPvejZVf4nckBoFIoSnFcHl75Z8KHQJHfPmzbtiLlddCV2NDvkwKvUrZMyKFSuqv5Xy91/+XlvdvvhqFr6e+51Xw771+qvqab57S69Gh0QPuKeyyPvDo48+qt4/R40adUWESmYRHWlrdMh7kYhLwsj9NeEk4kSLFi1w9OjRFNFJxAmxR95/hKlL6JA+MtbkyZNTCR1p01ukn3yoHzduHM6dO5eqLotX8Dzp3KoV8MknnvS83Cd/fuDIkXT7S/2TnTt3qvd7SeERZvJeW7x4cSV0uNfokAFatWql7mVkj8q9gNyXZCR0eCJueb4I9vSWAIUOb4mxPwmQAAmEIYH0bq7kBkBuEORJkNStkJum22+/HZLrOmfOHIwYMULlukrah+QBL1y4ED/88IN6kiQ3pa4IB3ehQ/rLDYYIBZIXW6NGDXTu3Bnr1q1TYolcJ3mvcmNRu3ZtSBE2uVmWGzLpJze5TZo0UfUvRBCRmxD3iA6piSE3kjfccIMKDRYRReyUsNK0dkqYrtgoY0pe7ssvv6y+RKgRO6+99lr11EpuIuWpjtwUCQu5SRW7Xc09oiNHjhxqDRLWKmKMCBi7du1Cw4YNVQiwjCVrF+FCRJMpU6agevXq6smbcJK1Sh+5yRKhQ4qhSV8ROKRuiIg5sr4HH3zwinVKWLen4cMUOsLwl9zDJUsx0ndf74Sy114umJicfAFfzvoNTz77AYuResjQ1G7Dln6GhB1rPDbvpuLl8Eq9Dqn6ByuiQ4qQyvuM/O2Vv5ny91H+hsqHbE//znm60AWLfsKUadM97a6E+XHvXJnqovvQ66rdJOuQJu8z8p7q3vxNXREhSqIwRKivW7fuFYVhv//+e1V7QoQN+ZJIDmm6iA73SBpZhwgH8l4tUR3yPmp5SlGvXsCoUR77BJUrA2vXXtFfeAgLuX+QlFwXX3lPlpobaSM65IGEvD9KfQ2ps+IS7xjR4bkrgtmTQkcwaXMuEiABEnAogcyEjrZt26onPfIBXvKypfCcPD2SD+cSeis3OZLzK5EaUjzOVdAzPaFDIjtcxdTcoxZcoopEeYjw4P4kUCJI5EO8CBNyMyY3XC7xRMZyFzpkfnlKNnHiRHUjJlEWInLIDWVaOyUqQsaT+aSavNgta5UmOblSzV6iQUSAcT2Rc7c5PaFDcnfTPh0SMUaeYkpUiGt84S1PxETEcBWdczEQzrIGETrkiZLc2Mu8wl4EGbFTWtp1CgdPU2codDj0FzXAZktEx2dTu+OmGtfik8+XYO3vf+GRVnVR5YZr8Ma73+KFIZ+msoA1OgLsEIuH/27bSoz89fLJEZ60znF3okXF21J1DUaNjrQ1o1wGSG0IOeXF6qKk/+zZi74DLn/g96TdWCMOXZ98/IquOqFDTlmR9A95PxIBXN5XJT3CvY6Tv0KHGOX+Yd116orrBBxXUVSZR94jJfLDkxodks4h14qI4moSHSFREnIf4Ol7jyd8VR+JBvKmRlWPHukKI3Kv4CqY6z63nEojIpo8HHEvRppWKJKHPVu2bMmwRoc83JAaHeJH1ujw2LuWdaTQYRlKDkQCJEACoUsgvZsruUGQPFX5cD5+/Hit0OGik7ZmhXtEhydChysaRMQT9zFdYbaZCR0iTkgkh4Q8yw2epNBIhXt3ocM1pqzZlbpipdDhLky45pIbYMlhdwkd8vO0zD0ROlzjpbdOb2qEsBhp6P4u+7Oyns/cjYHP34/Z36zAI53eUkPJSSxffdwTkZERaNXhDaxYtS1lCgod/tC259oOc1/HzmP7tJMXzJkX05r2RGRE6joUcmHaU1fkb608Abfq1JX169erv9vy4TEmJkbZKgKLRBDI+0sgTvn44MPJWPLLMi0X6dCn13OoWKH8FX0zEzrk7737KSsidMv7k7zPyVpdhS6tEDpchWHleFmJCkxbL0VEFhHYJTpQ3kvkPdX91BWJZvzzzz9VLQ/XqStSlFPSlSRCUgp5iuDufvqIK53TI4CedoqPBxYt0veW42//+AOIjU3VV95z5X4iKioqVeFcKQor9xMSOSnc3YUOGUCEotmzZ6v9JntaHsAIQxFMXKeuSFqr7Hk5tU3SSMVvwkvSmSTtV6JJ5eeBqCmjBxI+PSh0hI+vuVISIAES8JmA+82VpIxINXV5SiFv3HKjJDdiutSVpUuXqpBPqaUhkRLyoV4K00m9DKl7IREKOqFDbvwkfaRSpUqqhoXcsEmudokSJdSTpIwiOlwigqSCyFrk5kxuzCREWI49lHQZV+qKy065afMkdcW90FhGER2S8+wK35WbJklLkfXK0yKxR56EuVJX5KmkhAzLkX1ib2YRHWlTV6RKv4wpodtp15m2kFxmm4FCh8+/KiF94ftjH0Oblrfh1TfmYPDwz1PW+t3MfqgRF4une0zEJ18sodDh4F2wZu829Fr4IS5cupjpKobWfQS1S1bKsI+IHfJhTiIs5O+zFKiUv7vygVfECE+Lkaat4yEfTOXDouukDPdjS6WopLwnyQdMlwBilStErHn51dfwV9LfmQ553z13456770q3T3o1OqSjvIdIioewcp164i4YyfuaK4XFmxodMoakd8r7qjT3o2flw7q8X4goJGkbrogOl+GSwiJRkmKzfBiXiEw5VlUeCsgJNxI1I/cA8j4mtovQtHr1avX+LO8fkuIpqR8SsSj1RgLS1q8H5EjhvXszH37CBODRR6/oI/tF7hvSCg6uQrdygRS6FSHDdbys/MwlFEmaqqS4yMMTee+fMWOGOnFG3t9lHwoDaeIzSQcS30oBV6lRI2zl/ZstsAQodASWL0cnARIggZAgkDZUuGnTpkqwkBxfSblwL4iZUTFSedohKSZSCE1ulCSqQp5ayRG1ciPsidAhN7nyBMVV4FRuFGTMcuXKpRROSxvRsXLlypSbarkpkZszucGTuhYyljyBkqcurjFddhYpUsSjYqQ6oUNuyOVGVW4C3YuRyk3tfffdp54aSb0O92Kksk65SRSxJTOhI20xUgm3lblE2ElvncLZk8bUFU8ohV+fQf0eRPeuTTB1+k/o2uNDBUDSWX7+4SXkz5dLRXksXropBQwjOpy5RzYc+Atvrfoamw5e+aE+NqoYnoy7CzWKlXXm4vyw+sSJk6pWx28rVl4xitRreKD5PWgQn7qmhh/T8VJPCGzcCHTrLcPgiwAAIABJREFUBsyff2XvMmWAkSOBBx/0ZCT2CUECHgsdkqfFRgIkQAIkYD0B+eDPRgImEaDQYZI3zLGl5o1lMXV8VxQsmBfTP1uCFau3odWDdXBb7Yr4bn4imrdKXRyQQoc5vvPFEjlqdt3+HThy5iTyRebC9YWuyTSKw5c5nHjN9h078fv6jThw8CCyX3UVSl9TCjffVEMVIWWziYCksCxcCOzeffmElZtvBlq0sMkYTmsKAQodpniCdpAACYQtAQodYet6YxfO1BVjXWO7YQ0bVMHg/i1QtXJpRERkw4mTZ/DNd6vx/AsfYdfuQ6nso9Bhu7toAAmQAAmELQEKHWHrei6cBEjAFAIUOkzxBO1wEWBEB/eCFQQodFhBkWOQAAmQAAn4QoBChy/UeA0JkAAJWEiAQoeFMDmUJQQodFiCMewHodAR9luAAEiABEjANgIUOmxDz4lJgARI4DIBCh3cCaYRoNBhmkecaQ+FDmf6jVaTAAmQQCgQoNARCl7kGkiABBxNgEKHo90XksZT6AhJtwZ9URQ6go6cE5IACZAACfxLgEIHtwIJkAAJ2EyAQofNDuD0VxCg0MFNYQUBCh1WUOQYJKAnsOfkYRTLHa3vyB4kEEYEKHSEkbO5VBIgATMJUOgw0y/hbBWFjnD2vnVrp9BhHUuOFEYEduwA5LhUafLvnTsvf5cv9+b2//of9031krvoIf8uljsKRXNHq69ieaJU38s/pzgSRjsr7JZKoSPsXM4FkwAJmEYgUELH6dOn1VJz5sxp2pJpj+EEKHQY7iCHmEehwyGOopn2EZg06T8xQ8SNtGKGh5alFTo8vAzVisSqrlWLxKBq0RiKH56CYz9HEKDQ4Qg30UgSIIFQJmC10PHHH3/g+eefx45/b5gOHTqE5s2bo1u3bihTpkwoo+TaLCJAocMikGE+DIWOMN8AXH5qAi4h48cfL0ds+ChqpIfVV6EjIxeJACLiR6PY6oz64D52LAEKHY51nf+Gvz1uAV5/54dUA5UsHoWGDW5Au9a1UbLE5XC22d+sQY9+n6bqF5U/FxrUq4T2beqgQrliyJIlS8rrR4+ewiczfsOXs1dh2479uK5iCdzVsDIeuv9m5M+fK0PDz51LxsKfNuGzr5Zj5ZqduCoiG26tXQ6d2tbFdRWLqznSs8U1YMXyxTF2ZCv13269p2PTln9Q88ZYjBnREkUK50s1b8Kijej87BT1s1YP1ES/Xk2QI/KqlD6nT5/D4BGzMWP2SvTt0QQdHq6Tao1Hjp5C976f4udftqDH043wWIe6yJY1q7re/bVPJnVGjWqlU839y69/4qnuU1E2tghef7kVri6ZOmzQtcb07PLf6xzBRAJWCh0SxdG7d2/cc889aNCggdq3ycnJWLp0Kd566y307NkTN910k4kYaJNBBCh0GOQMB5tCocPBzqPp1hCQiI0ACBtpjbNa6HAf35Xi0rZyfUZ8WLMrOEqQCFDoCBJoE6dxCR2xZQqjRPEoJCdfVOKAfFCvWrkUXnnpAVwbUyRFXBARpHTpQmopO3cewK5/jkB+NnJoC9xcI0b9/MDBExg45CvMX7ThiiXfUe86DBl4HwoVzHPFaxcuXMSEKT/j1Te+U69Vq3INjh07rYQSEVXElvq3V7rClqxuAku+vDnRs1sjJCdfSBE6ZKxJ7z2KOrXKpcx5/vwFNc/EaYvVz9ITFDZv2YOuPT/Cjr8OoG6d8hg1rAWio3KnjOEuZlwbWwRvvNwKFcoXU69nJnRcuHgRr7/9A96bcDn3cvTwlmh2V7VUPCh0mPjbElibrBQ6Dh48iP79+2PYsGEoWLBgKsPXrl2LSZMmqdeYzhJYnzp9dAodTvegGfZT6DDDD7QiyARc4oZ8D1ILpNCRdgkS7dEwpjqq/ZvqEqQlchoS8JoAhQ6vkYXOBS6h49mn/ocuj9dXCzt58ixGvvEdPv5sGTo8fCt6PdMY3/6wTkV0uAsCEn3x4dTFGP3mPDT+3w0YPuh+5MqVHR9M/En9rGXzm9H96YYoEJ0b+w8cx/BRc/H1d4kY0Lsp2raqnSo6QubdmXQQzz4/HXv3HVOiwi03X4tLl4DPvvwNA4fOTJlDIj7S2pLWI9t37E8ldLjWcdVV2VRXEWi69/kEqxJ3qv+nJ3SICCI2S8udOxLvjHkEtWtemzKVu5iRdozMhI60c9/frAYG9W2GnDmzp4xNoSN0fsc8XYmVQodEdIjQ0b59e1SpUiWVCZmJIJ7ayn7hQYBCR3j4OdCrpNARaMIc3xgCImpMnvxfEdEgGxZMocN9aSJ6MNIjyM7mdB4ToNDhMarQ65ie0CGrXL5yO1p3HIfbapdXaR8/LdmSrriwbbsICh8r0UJSRkQQkHSO3zfuwoS3O6RK2XClitzbNA4v9r1H9XVvv2/Yhce7TVbCyNiRrREbU1i9vG//Mcydt1alhTRpXAVLlm31WOg4c+Y88ufPqa4d8/JDKvpEmsuW2rXK4pdlW68QOo6fOIN+g2dg0+Y9uPWWcpj26VIlBD3duUG66SkuMeStUW1U/8yEDtfcEsWxb/9x7D94HG++2hrlri1KoSP0fsU8XpGVQof6HV6+HC+88AK6d++O+Ph4RERE4NKlS0hISMCsWbMwcuRIRnR47J3w7EihIzz9bvWqKXRYTZTjGUegQwfL6234ska7hA53WxvHVEfbyg1Y08MXB/KagBCg0BEQrM4Y1Gqh4+Spc0qsKFokH15/pRVKl0odNp8ZlaPHTqPfizPw/YL1aHpnVTzZMV7VsMia9b/aH3K9J9EOroiOwoXy4qYaZTDmze/x3uttVU0RV9rKT79swcMta6k6HGkjOtb+noTOz05FjbjSaPtQbfQb/KVak3utD3cxo2Pb21RNkjo1y6rUHLHZVb/DvUaHRMGMfP1bTP74F7w9+mGs2/C3SmEZMuBePPRATQodzvi1CYiVVgodImjI119//YWxY8fiyy+/RPHixXH27FlViPSVV15BuXL/pXIFZEEc1PEEKHQ43oVGLIBChxFuoBFWE7A5eiO95ZggdLjsckV5uE50sRo/xyMBTwlQ6PCUVAj2S0/oEMFhzFvfq9QVKUja+9k78d3836+Iojhz9ryqcSEiQsP612P4i/dj67Z9eKj9eymRIFJbw5u2fuNuDHlltipEKk2KnLZ+sCbuu7t6SmpHZsVIXaKCu9DxxKO3Y9DwWahbu7xKw9l34LhKW4kpXUhFiDz61MRUQod8QJw4bQlGjJ6L57r8D21b18HgEbMw8+vVKWKJ2OYudEgNkHnz12P6F79i6AvN0bD+dejR7zNVqNRd6Ph712E822c6zp5NVhEwu/ccQfvOH6ak5eTNk0Ot2xMxxxuu7Gs+ASuFjvTSU06cOIFs2bIxisP8rWCMhRQ6jHGFow2h0OFo99H4tARE4Bg82NLTUqyCbJLQ4S54sJaHVR7mOL4QoNDhC7UQuSa9U1dcS0uvGGl6y3YvRioChT9Ch4x/4uRZzJ67Gl/OWYXEdUlqSjm1ZMSL9yOmTOFMi5HK6Sc3XFcSLqFDrpXrpn2yFNt3HlDpK5s2/6NOW5GaIpGREVcIOIePnETP/p+pdB1XEVNXvQ73Wh9p01Py5IrEM32mI0/uSPTv1RRvvpdwhdDhEjBc6TtHjp1WokvSrkMYN7adsp1CR4j8cnm5jEALHV6aw+4kAAod3ARWEKDQYQVFjmE7AYMFDhcbE4UOl21yakvbGxqweKntGzn8DKDQEX4+T1lx2lNXXC/cVL0M7r27OkoUu1zTwvUB3XXqiuukk/Jli6JF85sgp7ZInQ5XnY1SJQukqonhC+KLFy/hj617Mfa9+SqdxVW084eFGzyu0SHzSuTEitU7Vc2Nsa+2xurEv7D0tz/Vz9dt2HXFWK6jXyuULZayBhFwOnaZmOo42LRCR7UqpVIKsTa/uzr+2nUIK1btSInocD+utl9POa72VkhUzPBX56pIEPcjbBnR4cuOcfY1VgsdnTt3RvPmzVGrVi0UK1aMkRzO3h62WE+hwxbsITcphY6Qc2l4LcjAFJWMHGCy0OGy2XVaS+PY6uG1j7ha2whQ6LANvf0TZ1SjI61lnn7wlsKhUptCjoR97/VHUOWGUilDSUFROVUlo2KkX85eiTnfJuLGuDJ4vMPtcJ2Q4hJPXHU/JMrD01NXXEKHfO/Wezpy58oOiaK4uXoM+vVqgu8T1qcaS+aUSAzhklGT2hoNG1yfbsHRXbsPq/FcqTcyhit15Y8/9+LpXh/jz2370h3alf6TP19Opq7Y/6sRdAusFjq6du2qTlzZsmULEhMTcerUKcTFxeHGG2/EzTffrL4iI1MXBA76ojmh0QQodBjtHscYR6HDMa6ioe4EFi26nKIi3x3SnCB0uAseclILa3g4ZHM52EwKHQ52nr+mWy10XLh4MUUoaN2iFrp3bQj54C5Hxr44fBbmL9qQKnLB3X5XJIUUIJW0EokWkXoZIrJIKomckPLaiIeweOkfXgsdxYtHpUROyJyjh7eEnHqSVsA5fvwMeg74TJ3EUq3KNSoNxdUOHT6JDZt2p9TzkBNd0is4mraGiEvo+PyrFSqqJG1UTHLyRWza8g/OJ19IOanGU2HJX//zenMIWC10yPGyw4YNQ8GClwsCnzt3Dvv27cPmzZuxc+dOtGjRAnny5DEHAC0xjgCFDuNc4kiDKHQ40m3ha/SOHYDrFBWHUXCS0OEuePSudT9PaXHYXnOSuRQ6nOQti221WugQ8w4cPIGBQ75Sokbadke969SpJIUKXvkBS9I4Ro+dh0kfLVGXidAgp5SIuCBtQO+maNuqtor6kKiJtIKB9MmXNyd6dmuE5OQLKoJDmqSouNf2kNojr7/cCleXjL5C6Fi5eocqDurex7UGV/pKsaL51XGwcqJLekKHFHOV9X/7wzp1qQgdFcsVw4v/FjR1T1GR193TV1xH2M79bm2Ga6x6Qyk82Sle1RdhCx0CVgodhw8fxpgxY9TRstHR0aEDiSsJKgEKHUHFHbKTUegIWdeG3sJefPFyFIdDmxOFDhfq3jUfYP0Oh+47082m0GG6hwJoXyCEDjFXoh8+/2o5vpy9SqWxXFexBO5qWBkP3X8z8mdyEosIG8uWb8MnX/yKX377U61cCpG2bH6zOho2W7asKeJEelgqli+uhA1paYUO14kn1SqXUifJZM8ekUro6PlsI4x9Z746+rVzx3p4tsv/kC1r1pRp3I+/lYiT/9W/Ll2hQy5YvnI7nnl+OvYfOK6EjqsisqrjanPnisRbo9qgQvliqcyXFJouPaapqJVRQ1uoGiIi5qTX0h6FG8DtwaGDSMBKoUOOkZWTV0TkyJkzZxBXwalCiQCFjlDypn1rodBhH3vO7CEBB0dxuK/QyUKHrEPSWBjd4eGeZTePCVDo8BgVO5IACZBAYAhYKXTIUbKDBg3CwoULU9XmqFatGipUqIAiRYoge/bsgVkIRw0ZAhQ6QsaVti6EQoet+Dm5joDDozhCSehwraXdDQ3QKLY601l0e5eve0SAQodHmNiJBEiABAJHwEqhw91K99ocv/32G2bMmIFChQrho48+SqnfEbhVcWQnE6DQ4WTvmWM7hQ5zfEFL3Ag4sNiozn9Oj+hwXx+jO3Te5uueEqDQ4Skp9iMBEiCBABEIlNAh5p48eRKzZs3C22+/jdtuuw1y9KzMJ0dCs5FARgQodHBvWEGAQocVFDmGpQRCKIrDnUsoCR2udUntDh5Fa+nuD7vBKHSEncu5YBIgAdMIBELokFNWpk6diunTp6Ndu3Zo3bo1ozhMc7zB9lDoMNg5DjKNQoeDnBUOpsbHO+rIWG9cEopCh6y/cUx1tK3cgKks3mwG9k0hQKGDm4EESIAEbCZgpdAhNTpGjBih0lT69u2rjpJlUVKbHezA6V1Cx6lzpfyyPjk5WUUPZcuWza9x5OLz58+rcbK6FYr2ZVCrbLpsT1Zkzerf2qyyR1jIWMLHX0ZWra1tq1ro9lQzRETwpDBf9iqvsYhAiBQczYxGqAodsuZiuaMxpkEnih0W/TqE0zAUOsLJ21wrCZCAkQSsFjomT56MxYsXY/Xq1Wq9cXFxuPHGGyEFSStVqoRixYr5/UHISJA0yjICInSsX78ePXr08GvMvXv3qg+5BQsW9GscuXjXrl3IkycP8ufP79dYu3fvRq5cuRAVFeXXOP/88w9y5Mjh9zHOe/bsQWRkpN/jyGKSkpIUn3z58vm1NhlH+OTNm9evcf7++2/194ZCh18YebE/BKQeh0RyhHgLZaHD5TqmsoT4Jg7A8ih0BAAqhyQBEiABbwhYKXRcvHgRx48fVx9Q5Knu6dOnIR+kNmzYgMTERMiHvCFDhljyocqbNbKvswhQ6ND7i0KHnhGFDj0j9ggggRCtx5EesXAQOmTdcipLu8oNArhpOHQoEaDQEUre5FpIgAQcScBKoePgwYPo378/hg0bpsSMM2fOqKfXbCTgDQEKHXpaFDr0jCh06BmxR4AIhHA9jnAWOih2BOj3JUSHpdARoo7lskiABJxDIFBChxBwiR6SOuAugliRSuAcwrTUWwIUOvTEKHToGVHo0DNijwAQCDORQwiGS0SHa7dIZEej2Oqs2xGAX59QGpJCRyh5k2shARJwJAEKHY50W0gbTaFD714KHXpGFDr0jNjDYgJhKHKEo9Aha65WJBa9a91PscPiX6FQGs5joSOUFs21kAAJkECoEpCojZ49e6JPnz4oUKAABg4cqNJYGNERqh4PzLoodOi5UujQM6LQoWfEHhYSCFORI1yFDoodFv7uhOhQFDpC1LFcFgmQQHgSkONlP/zwQyQkJKjio1KYtH379qhRo4YSPj799FOMGjXKklMwwpNweKyaQofezxQ69IwodOgZsYdFBMJY5AhnoYNih0W/PyE6DIWOEHUsl0UCJEACQkCEDzkqctOmTVi5ciUOHDiAESNG8NQVbo9MCVDo0G8QCh16RhQ69IzYwwICYS5yhLvQQbHDgt+hEB2CQkeIOpbLIgESCE8Chw8fxoQJE1CiRAlcd911iImJQb58+ZAlS5bwBMJV+0SAQoceG4UOPSMKHXpG7OEnAYocCmC4FSNNb9c0jqmOtpUbsGaHn79SoXQ5hY5Q8ibXQgIkEPYELl68CPnDLl9r1qzBsmXLsHXrVlSpUgU33ngj6tSpg/r16yMyMjLsWRFAxgQodOh3B4UOPSMKHXpG7OEHAYocKfAodFxGwdNY/Ph9CsFLKXSEoFO5JBIgARJwJyDih0R6bNu2DTt27MCdd96JPHnyEBIJZEiAQod+c1Do0DOi0KFnxB4+EnjxRWDwYB8vDr3LKHT851MRO9pVbhB6TuaKvCZAocNrZLyABEiABMwlIKeudOzYEZcuXULNmjVRtWpVlcJSrFgx5MyZ01zDaZlRBCh06N1BoUPPiEKHnhF7+EBg0SJAojnCrZUpA9Sr99+qS5dO+ffk+29T/9578jD2nDyi/r3n5OFU38MJF8WOcPJ2xmul0MF9QAIkQAIhRODs2bN4//33MXPmTDRt2lRFbixdulSdwHLq1CnccccdGD58uKrbwUYCGRGg0KHfGxQ69IwodOgZsYeXBMJB5HAJGrff/p+wIT/zs63Ztw2Je7cjcd92JYK4hBA/hzX28o+b9WK9DmO9ExzDKHQEhzNnIQESIIGgEti/fz9Gjx6NvXv3YuDAgaoo6fnz53H06FF14kpERERQ7eFkziJAoUPvLwodekYUOvSM2MMLAjt2ADExXlyg73oJwEIALwL4GcB9AF4AUE1/qbU92rcHXMKGBaKGJ8aJ8LHnxBF8v31VyAofFDs82Qmh24dCR+j6lisjARIgAVWTY/DgwShatCh69OiBwoULkwoJaAlQ6NAiAoUOPSMKHXpG7OEhARE5OnQAJKLDwrbmX5FjFIBYAPMBfAjgXQDRFs5zxVA2CBu65Yjw8f22VVjzb8SHrr8TXi+WOxpjGnRiZIcTnBUAGyl0BAAqhyQBEiABkwhIvY7Vq1djyJAhqFevHjp37sxTV0xykIG2iNAxZMRkHDpRzC/rLiRfUEcbZ82W1a9x5OLk88lqnKxZ/Rvr4Za10OXxRoiKivLLJgodenwUOvSM2MNDAgE6YWUZgIMAmvxrhvy767/iRwUPTfOqmwgcgwYBQYra8Mo2t84iekxZtyAkIj1Yr8PXXeD86yh0ON+HXAEJkAAJXEHg3Llz2LVrl6rPsWTJEqxcuRLXXHMNGjZsiDZt2rAwKfdMpgRE6HhpxGSsWJsl5EgN6nsPhQ6NV5OSkpQQlDdvXr/8T6HDL3y82EVg0qTL0RwBbskA5gL4EcAwAJaV75YCou3aASJyOKy56nrM+ze9xWHmp5hLscOpnvPPbgod/vHj1SRAAiRgFAE5RrZLly5YtWoVmjdvjrp166JKlSrq1BV/n4QbtVAaE1ACFDr0eBnRoWdEoUPPiD00BAJQlyO9GYf8W5vjdgDjAJS3wjEicEj0hvtJKVaMa9MYInqMXDbDsUVMWa/Dpo1j47QUOmyEz6lJgARIwGoCJ06cwIcffoiEhATIH/iSJUuicuXKuP7669X3ihUromDBghQ9rAYfYuNR6NA7lEKHnhGFDj0j9tAQCFDKSnqzXgSwAMAb/4odxX11jqSliMDhwAgOT5Y8eV0CnBjhwXodnng3tPpQ6Agtf3I1JEACJJCKgAgfEoa+adMmlb5y4MABjBgxQp28wkYCGRGg0KHfGxQ69IwodOgZsUcmBF58ERg8OKCI0tboOAngaQAdAdTxZeaJE0NW4HDHIUfTTlmX4LjCpUxh8WVTO/caCh3O9R0tdydwIRk4dRo4exaQf1+8hCP5syAql3+F9AiZBJxGQISNX3/9FSVKlECpUqWQJ08epy2B9hpAwFWMdDlrdGToDQod+o1KoUPPiD0yIBCklJUEAK//G8UhB9f+BuCVf392jTfOkfQUETkMLzLqzZI86esqWirfndKYwuIUT/lvJ4UO/xlyhEATOHEC+PNPYMd24O8kYNcuYM8eYP9+4PBh4MgR4PSpVFYsGHQnFhbYkvIzd8EjOmdR9fMyBasiOmcxJYbIzyiKBNqRHD8YBM6ePYvPP/9cFSGVOh3yYaxq1aqoWbOm+n7DDTcoAYT1OoLhDefOwYgOve8odOgZUejQM2KPDAjExAAidgS4SbrKTAAjAfwK4L5/a3VU82behQtDpg6HN8t27/vdtlWY8nuCI+p3MIXFVy877zoKHc7zWWhbfPQosGY1sDYRWL8e2LQRSEryes1phQ5PB4gpWDVFBIkpWI0CiKfg2M9YAsnJyTh48CC2bNmCdevWQT549OrVi6krxnrMDMModOj9QKFDz4hCh54Re6RDIAgpK5ZwlygOETnYFAFJZ+meMN4RYgdTWMJj01LoCA8/m7tKSTVZ/DOw9Bfgt9+A9b9bYquvQkd6k4v4IdEfFD4scQ0HsZHAxYsXcfz4cXVkJCM6bHSEA6am0KF3EoUOPSMKHXpG7JGGQJBSVvzmLsVGRZBhu4LAyGVf4Lvtq4wnwxQW413kt4EUOvxGyAG8JrB3D/DDD8CCBODHRV5f7skFVgodaecT4SPu6kaQ70x38cQb7GMKAYns6N+/P4YNG6ZOXmEjgYwIsEaHfm9Q6NAzotChZ8QeaQg4IZqDqSrabeuEk1kY1aF1o+M7UOhwvAsdsoDjx4G5c4BvvgGWLA640YEUOtyNF7Ejvnw7prgE3KOcwAoCFDqsoBgeY1Do0PuZQoeeEYUOPSP2cCNgejSHFBqVgqOSssKmJSAFSkcum2F0KsuYBp1QrUisdi3s4EwCFDqc6TfnWC2ixldfAjO/Ai5dCprdwRI6XAuSyI64qxui+tWNGOURNC9zovQIHD58GH379kWhQoVQo0YNVKxYEWXKlEHOnDlVrQ5GdHDfeEKAqSt6ShQ69IwodOgZsYcbgfh4YFFgIn395sx6HD4hNL1uBwuT+uRWx1xEocMxrnKQoSJoTP8Y+GS6ZTU3vF19sIUOd/uY2uKtt9jfSgJSh0MEjU2bNqnio8uXL0diYiJOnTqFcuXKIVu2bJgwYQJTV6yEHoJjUejQO5VCh54RhQ49I/b4l4AIHCJ0mNgocvjtFZPrdvSu+QAax1b3e40cwDwCFDrM84lzLZL0lMkTgSmTgYMHbV2HnUKHa+EUPGzdAmE/+blz53D69Gnky5cPWbJkgfx/37596rjZKlWqIDIyMuwZEUDGBCh06HcHhQ49Iwodekbs8S+BIB0n6zVvihxeI8vogtazXzUyjYVRHZa52LiBKHQY5xIHGnTyJDDufeDD8cCpU0YswAShg4KHEVshLI346aef0L17d0RERKBEiRJ47bXXULp06bBkwUX7RoBCh54bhQ49IwodekbsgcunlwwebB4KihyW+8RUsYNRHZa72ogBKXQY4QYHGzHuPeDdd4Bjx4xahElCBwUPo7ZGyBsjx8dKjY4uXbqo+hzygVWEj8GDByN79uwhv34u0BoCFDr0HCl06BlR6NAzYg8AJkZzUOQIyNY0tWYHozoC4m7bB6XQYbsLHGrA7FnA2NeB7duNXICJQoe74CEntUhqCxsJWE0gbcHR/fv3qwKkI0aMYF0Oq2GH8HgUOvTOpdChZ0ShQ88o7HtMmgR06GAWBjldxdD7W7NA+WaNqWIHj5v1zZ8mX0Whw2TvmGjbpk3AqJHAwgUmWpdik8lCh8vIuFKNUL9cW57SYvROcp5xaYUOnrTiPB+aYDGFDr0XKHToGVHo0DMK+x4mRnMsXMgjZAO8MU08epZRHQF2ug3DU+iwAbpjp3zzDeD11xxhvhOEDgEpx9KK2CGiBxsJWEFAhI02bdrg6NGjuO222xAbG6tSV4YOHaqOmc2aNasV03CMECdAoUPvYAodekYUOvSMwrrHjh2X01ZMahQ5guaNyetnGmHFAAAgAElEQVQSMG/7KqMKlLJWR9DcH5SJKHQEBbPDJ1m9ChgyGEhMdMxCnCJ0uIBKGkvzqr0Z3eGYHWa2oZcuXcKxY8ewfft2bNiwAWvWrMGyZcuwefNmNG7cGK+//jqio6PNXgSts5UAhQ49fgodekYUOvSMwrqHpKxI6oopbdCgy4VR2YJGQMSOyb8nBG0+3UTVisRiTINOum583SEEKHQ4xFG2mfneu8Crr9g2va8TO03ocK1TxA5Gd/jqdV4nBM6ePasEjZIlSyoxwz2C4+LFi5BipXnz5mVkB7dLpgQodOg3CIUOPSMKHXpGYdvDtGgOFh+1bSuadhLLx816QdJY2JxPgEKH830YmBXs3QsM7A8kzA/M+AEe1alCh2Bh7Y4Ab44QH96VurJp0ybkyJEDRYoUQa1atVCtWjVcd911iImJQb58+ZAlS5YQJ8Hl+UOAQoeeHoUOPSMKHXpGYdvDpCNlWXzU1m1oWnFSFiW1dTtYOjmFDktxhshgPy4C+j4PiNjh0OZkoUOQM5XFoRvPELP/+usvvP322xDRo1u3bpBIDlcKy4EDBzB69GimrhjiK1PNoNCh9wyFDj0jCh16RmHbwySxnXU5bN+GpqWwMKrD9i1hiQEUOizBGEKDjP8AGDHM8QtyutDhcsCjt4zhMbSO3432LEDqdKxduxZjxoxBuXLl8MQTT6Bw4cL2GMNZHUdAhI4hIyZj+drQi/wZ1PcedHm8EaKiovzyC4UOPT4KHXpGYdlj0SIgPt6MpTNlxQw/ADAphYVFSY3ZFn4ZQqHDL3whdvELA4CPpoXEokJF6BBnxJdvi/rl24WEX7iI4BOQaI4ff/wR77zzDu666y60aNECuXPnDr4hnNFRBJwmdLRucSt6PXs3KpYviaxZs+DI0VOYMfNXPD9wGo6fOJOKPYUO/VZMSkpSQpDU8/GnUejwh14IX2tS2sqlSyEM2llLMymFpXFMdfSu9YCzANLaKwhQ6OCmAE6dAp55GlhgTtVjf90SSkKHsGDdDn93RHhff/r0aVWg9M0331TpLBMnTmTqSnhvCe3qnZS6El/3ekx4pzNy5MiO9z+cj3/+OYy2reuiWpUyeOOdb9F/8HQKHVqPp+5AocNLYOzuOQGTipDylBXP/Raknr6msFw8n4yt0xKw64dVKZYWqBKL67o2w1V5cvpkPdNXfMJm1EUUOoxyhw3G/PMP0KWzo46O9YRSqAkdsmbW7fDE8+wjERzyIWXVqlVYunQpFixYoFJW4uPjUadOHVWQVJ7Ushgp90pmBJwkdLzxant0bFsfb4+bh+cHfqSW1aRxdbw/9nH8uX0Pbm+U+rhIRnTo9z6FDj0j9vCRgCnRHCxA6qMDA3+ZLyksF86ex7ZPFqF4fFXkuaaIJUYyfcUSjLYOQqHDVvw2T/7nVqDz48C2bTYbYv30oSh0CKWoXMXQsdZo9Z2NBNIj4Dp1RY6Zbdu2rRI4ihYtipw5fXuiQcqeERgyZAheeOGFVJ0XL16sxCUnNielrtxYPRZlY4sjcd0ObNy8K5XQsWv3QdSs1z+VCyh06HckhQ49I/bwkUCHDsCkST5ebOFljOawEKa1Q/kS1XH+xGn8Mel7xDxYFzmLWnM0bLUisRjToJO1i+NoQSVAoSOouA2abONG4PGOwO7dBhllnSmhKnRQ7LBuj4TqSBLRIWKHHC+7bt06LF++HImJiTh06BCqVq2KBg0a4NFHH0WePHlCFYEt6xKhIzY2Fm3atNHOL6lEgwYNQseOHVGhQgVtfzs6OEnoSMunUoWSGD2iLWrXKo/RY7/GkJdnUOjwchNR6PASGLt7RsCUtBVGc3jmLxt7eRvVcebAUWwa9w0uXbiIIxv/QuGbyqNM81uRp3RRv1bB9BW/8Nl+MYUO211ggwEicnTsAOzdY8PkwZkylIUOih3B2UNOnUUiOeQP+9VXX42CBQsiIiJCLeXcuXPYt28f5KSIKlWqIDIy0qlLNNLu9IQOOflm/Pjxyt5OnTrh008/VQKUpBR9//33SniSn1177bWYMGECRowYgXz58uGll15Cw4YNMXz4cJw6dQoijDz44IOYPn26SjmaNWsWHn74YdUvV65c6v8STXLs2DE899xzePzxx3HVVVfhgw8+wIABA1CyZEnV95577vE4ZcmJQsegfg+i1zN3I3v2CJw/fwHjJyfgmV5XPjlmRIf+V4hCh54Re/hAwJS0lYkTgfbtfVgALwkWAW+jOpJPncHBVVsRdV1pZM+fG3t/WY8Dq7aiYqc7EZE7h89mM33FZ3RGXEihwwg3BNEISVNp/wiw63J4b6i2UBc6KHaE6s71f10nTpzAe++9h/nz56tojvLly6N69eq46aab1KkrRYpYk7vqv6WhNULa1BU5zve1117DmTNn0K9fPyVUfPbZZ3jxxReRP3/+VBEdCQkJ2LBhgxIoJPJGxnrmmWfw1ltvKXFConB++eUX9XP5WfHixdG7d28VmZMjRw68/PLL6qtAgQJ49dVXlXBSsWJFNZ8IHCJwyXV9+vTxuAitE4UOieSoWrkMihbJr4qRlo0thjfe/RYvDPk01Waj0KH/3aPQoWfEHj4QMEHoYDSHD46z5xJvozrcrUw+dRZbPvwOpZrURN4Y39O9efqKPb63alYKHVaRdMI4e/cCj7QBpDZHiLdwEDoodoT4JrZgeRJRIE/5t2/frtJXpk2bhoEDB6Ju3boWjM4h3AlklrqyYsUKJUqMGjVKRWqkTV1JK5KIkPHFF19g5syZKektS5YswdSpU5V4IvVW5Jr69etDju901WMRe9auXauiRJ566in07NlTCS0tW7ZUIpdEi3janFSMNL01yUksE997Uh0ze9v/Xkh1xCyFDv0uoNChZ8QePhDIksWHiyy+hLU5LAYauOG8ieo4tnUXzh8/jYJxZZVBVgkdxXJHQ9JX2JxJgEKHM/3mvdXnzwOtHwJWrfT+WgdeES5Ch7iGp7E4cIPaZLJ8CJ40aRKGDRvG4qQW+yAzoePHH3/E008/rcQJidBIT+i4/fbbUwlQaft4K3RIDZCsWbMqIWTevHmQ69944w2vIjpeGjEZK9Ya8MFE4ysRNQoXyoclyzZj1+5DKb0Tl72K/PlyokPnd7Hwp/UpP6fQod/8FDr0jNjDSwIm1OdgNIeXTrO3+56Th9E9YTzku66d2LkX279YjLIP10eOIlEqjUXSVyo82tiv1BWZl3U6dPTNfZ1Ch7m+sdaypzoD876zdkyDRwsnoUPcEF++LeqXb2ewR2iaCQSkSGn//v2V0CH1O9isI5CR0LF//35VP6Ndu3aYMmWK4i8pJhJZI3U7JMVk7ty5+OabbzB06FBVc0Oib8qWLavSUVwFSzMSOuSo4PRSV+SkHSlGK5Edx48fVyksPXr0QOnSpT1atJNSVya80xkP3ncLho38Eq+8NkutzxXRcejwSVSv83yqNVPo0G8BCh16RuzhJQET0lYYzeGl0+zvPnLZF/hu+yq9IZeAwxt2YseMn3FkU5JlxUhlYtbp0OM3tQeFDlM9Y6VdQwYDkyZaOaLxY4Wb0EGxw/gtGTQDRcyQgpR58+ZVtTmk8KicBiJ1IRYsWIA5c+Zg5MiRjOiw2CPpHS8rkRxSeFQKw8ppLFKA9KefflL1Od5//30VXfPRRx+lKkYqZvXt2xetW7dWESA6oaN27drpFiOV03ekXsebb74Z8sVI2z9cD68MaYOzZ8/j/Q/nY//+Y6pGR9XKpfHOB9/j+YEfUejwcr9T6PASGLvrCZggdGzfDkhUB5tjCKzZt01FddjZWKfDTvr+zU2hwz9+5l89ZTIweJD5dlpsYTgKHYKwR/2PEJXL96JLFruBw9lEQAqSygcVOeFj5cqVWL16NdavX6+Ej1deeQXlypWzyTJO6xQCTqvR0eGReujZ7W7ExhRF1qxZcPjISUz75Gf07Df1CuSM6NDvQgodekbs4SUBu+tzMG3FS4eZ092foqRWrWJBq+FWDcVxgkiAQkcQYQd9qmVLgTatgj6tCROGq9AhIkfHWqMpdpiwCW22QY6Tla88efLYbAmndyIBpwkd3jCm0KGnRaFDz4g9vCBgQn0OB6StJCcn49dff1VHie/YsQOTJ0+2NM305MmT6jS2r776Sj0AWbNmjUptlBYXF4cKFSqgXr16qni1RCLKceYmNG+KkgbKXtbpCBTZwI5LoSOwfO0b/ehRoFkT4O+/7bPBxpnDVegQ5BQ7bNx4hkwt6RHdu3dH27Zt0a1bN2XVDz/8oG5cpCaEKTcvhuCiGekQoNCh3xb//POPOt43Ojpa3zmTHnv27EFkZKTf48gUIlBImpo3J+ykZxqFDr9cyovTEli0CIiPt5eLoWkrkma4efNmddLWhAkTsHPnTsWpUaNGKrXRinpaInCMGzdOFaR2ja9zxn333YcBAwYoAcTuewYT0lfGNOiEakViddj4umEEKHQY5hDLzOnWFZj7tWXDOW2gcBY6xFcsTuq0HWudvfJ0Rmo8dOnSBZUqVUoZWP7YDx48GF27doWc8MFGApkRoNCh3x8UOvSM5NSfYsWKISIiQt+ZPUKXgN31OQxLW5Gj3+V348svv1TRGxLFkbZZJXSsWrVKPfCQgtbeNqn1NXz4cHTu3Nn232G701dYkNTb3WNGfwodZvjBWismTwReGmztmA4bLdyFDoodDtuwFpqb2ckq27dvx1tvvaVO4MidO7eFs3KoUCNAoUPvUQodekYUOvSMwqJHhw7ApEn2LdWQtJXDhw/j22+/xYcffoiEhIRMeVghdEhBbDnxy9MojowMkpO95NQuOwVLj09fCdAuY0HSAIEN8LAUOgIMOOjDb94M3NUo6NOaNiGFjsseYXFS03Zm4O2RuhwSudGgQQPUr18/1YQ8Xjbw/ENlBgodek9S6NAzotChZxQWPSRtRdJX7Go2Ch2nT5/Gzz//rE7Z+vrrr1NqYuhQ+Ct0bNy4ER06dLgiWkTqcDzxxBOQ1BRJZxXxQiJMjhw5gmXLlqn0lnnz5qUyTyI7pk6dinvuuUdndsBe/27bKoz89YuAja8bWNJWJH2FzVkEKHQ4y196ax9pA/zifXiafmBn9aDQcdlfTGFx1r61yto//vgDvXr1Qnx8PO6//34UKVJEDS0hsvJHf+jQoaomABsJZESAQod+b1Do0DOi0KFnFBY97C5qeemSbZjTO3rcE2P8ETqOHTuGp59+GlOmTEk11SOPPKKOl5d0soza2bNnVT2P/v37pxJlmjVrhg8++CDlfsKTNVjdp/70flYP6dV4LEjqFS4jOlPoMMINFhnx4QRg2BCLBnP2MBQ6/vPfo7eMQUzBqs52KK33moAUH5szZw5mzZqlqqufOXMGDz/8sCpSWqBAAa/H4wXhRYBCh97fFDr0jCh06BmFfA+7T1yxuT5HZkKHRF4++uijqm6W9Hv//fdTtoM/QoekxUjEhutEFRlUojFk/KJFi2q3nIgdInSMHj06Vd8ZM2agefPm2usD1cHuOh0UOgLl2cCNS6EjcGyDO7KcrnJHPHD+fHDnNXQ2Ch3/OYansBi6SQNk1okTJ1SoaokSJVCqVCkeLxsgzqE+LIUOvYcpdOgZUejQMwr5HnafuNK+PTBxom2Y0wodNWvWVA8dHnjgASU6yIkmkt7y3HPPWSJ0XLhwAQMHDsSIESNS1iypJ3KkrAgrnra1a9cqGyVC1NXERqnXkT17dk+HsbSf3XU6ePKKpe4MymAUOoKCOQiTdH8WmDUzCBM5YwoKHan9xBQWZ+xbK6yUJzGff/45li5dCqm2Lh/GqlatCrm5ku833HCDEkCyZs1qxXQcI0QJUOjQO5ZCh54RhQ49o1DvsWnzFsyc8hEK5ckN7NmDitmvQqH1v1/+9+FDgER8BLLZWJ9DliVChxwb27FjRyUcSI2MtO+/VgodUvBUUlTmzp2bQrVx48aqxkahQoU8Jn306FF06tRJHXvrav5EmXg8cSYd7a7TwZNXrPBicMeg0BFc3oGZbdFCoGOHwIzt0FEpdFzpOBYmdehm9tPs5ORkSBFSqb4uRcaio6PVDY98ZyOBjAhQ6NDvDQodekYUOvSMQr3HzNlfY+bs/z50p11voUIFgTNnULFokRQhBJs3o1DyeVTcuMF/IWThQqBePdsw7969W9W1yOzEEiuFjq1bt+Khhx7CypUrU9bsSyRGepEh8rDk008/VWKNHW3Nvm3onjDejqnVnO1uaIB2lT2PirHNUE6cQoBCRyhshvvvBdasCYWVWLYGCh1XopQ6Hc2r9oaksrCFBwGppC5Hyo4dOxYShvrkk0+iadOmyJkzZ3gA4Cp9JkChQ4+OQoeeEYUOPaNQ7zF+4hQsXrLU52W6hJBCuXOjEC6h4OlTKLx1qxJCCm3fjkKbNmY+to2FSD1dtJVCx549e/DJJ59AojtdTSI5mzRp4qk5Kf3Spt3YLXSIYXYWJOURs15vIdsvoNBhuwv8NOCzT4G+z/s5SOhdTqEjfZ+K0BFXiscPh96OT72iixcvqjodb775pipCKk9zbrnllkyfKIU6E67POwIUOvS8KHToGVHo0DMK9R7+Ch2e8CkUlR+FIiP/E0KOHEGhPf+g0PnzKPTD954MYWsfK4UOKxdiotBhZ0FSHjFr5e4KzlgUOoLDOXCz1K8H7AxwfmPgrA/YyBQ60kcrUR1yCgtb6BKQ/NwnnnhCha1KMbI777wTUoiMjQS8IUChQ0+LQoeeEYUOPaNQ7/Hyq69B6nTY0SQaZNTLQ+2Y2qs5TRQ6zp07hz59+uC1115LWUuNGjVUtEjZsmW9Wp+VnSl0WEkz9Mei0OFkH0+eBLz0opNXEDDbKXRkjJZRHQHbdkYMLOGqK1asQGJiIpYvX66+Hzp0KKUgqRQlvfXWWxEZGWmEvTTCTAIUOvR+odChZ0ShQ88o1Hv07DMABw4ctGWZFSuUR59ez9kytzeTmih0HDhwQBU1lfcCV5P/v/3227Y+PJEaHVKrw45WLHc05IhZNucQoNDhHF9daWm924CkJCevIGC2U+jIGC2jOgK27YwdWJ7M7Nu3D5s3b8bOnTvRokULHjtrrLfMMIxCh94PFDr0jCh06BmFeg8KHXoPmyh0fP/99+qUmOPHj6csYPz48er0GDubnUfMUuiw0/O+zU2hwzdu9l/16XSgX1/77TDUAgodmTuGJ7AYunEtMEtOWJGaHJKuUr16dVSpUgWxsbHqlBUeKWsB4DAZgkKH3tEUOvSMKHToGYV6j/adnrRtiYzo8A29/N527tw51RG18fHx6sS2kiVL+jaoRVdR6LAIZJgMQ6HDqY5ueiewUVNp2qlrs8BuCh2ZQ2RUhwWbzOAhTpw4gaSkJGzatEnV6pBUFjl1RfJqGzdujG7dujGiw2D/mWAahQ69Fyh06BlR6NAzCvUedgodt9a5BZ06tDUesUkRHXLf8Mwzz0AiOlxNHpyMGzdOHVtrd7NT6JC1L2g13G4EnN8LAhQ6vIBlTNf584EnOhljjomGUOjQe4VRHXpGodRDjpo9duwYdu/erSI8WKMjlLxr/VoodOiZUujQM6LQoWcU6j0odOg9bLfQIQ9HNmzYgI8//lhFbUhdL3eRY+DAgSpSNCIiQr+YAPeYvC4Bk39PCPAsGQ9PocM29D5NTKHDJ2w2X/R4JyBhvs1GmD09hQ69f+SYWSlMykYCJEACaQlQ6NDvCQodekYUOvSMQr0HhQ69h4MpdKQ9MjYz6woUKIAxY8agTZs2RogcYiuFDv1+Yo//CFDocNpu2LYN+F99p1kddHspdHiGnFEdnnFiLxIINwIUOvQep9ChZ0ShQ88o1HvYKXTc26wJ7m3W1HjEJgodbdu2xeDBg1GmTBmj+FHoMModxhtDocN4F6UxcPSrwDtvO83qoNtLocMz5Dxq1jNOTup1+PBh9QSme/fuqgApGwn4QoBCh54ahQ49Iwodekah3oNCh97DJgodpUuXxuOPP47HHnsMhQsX1i8iSD0odAQJdIhMQ6HDYY4cndAaMSeiEbf4AGK+/NVh1gfPXAodnrFmUVLPODmpl5y60r9/fwwbNkydsvLBBx/gqaeeUsVHJQ939uzZaNasGYuROsmpNthKoUMPnUKHnhGFDj2jUO9hp9DBYqRX7i5vUlfk6goVKmDEiBG49957kSVLFtu3K4UO213gKAModDjIXUdO7cHoBW1SLI7JXRFlki4i7qtNiF673UErCbypFDo8Z8z0Fc9ZOaGnu9Ah9rpEj4IFC8L9Nfk/GwlkRIBCh35vUOjQM6LQoWcU6j3sFDp4vKxnu+vcuXPYt28fFi5cqB6O/Pzzz6kulFNX3nvvPbRq1cp2scPOU1eK5Y7Gx816eQaVvYwgQKHDCDd4ZsSCLZOxcMuUdDvHRMQgfmU2RM35EdH7z3g2YAj3otDhuXPjy7dF/fLtPL+APY0mQKHDaPc4xjgKHXpXUejQM6LQoWcU6j169hmAAwcO2rJMCh3eYz979iw+//xzDBgwADt37kwZQFJZPvroI9SpU8f7QS28gkKHhTDDYCgKHQ5yskRzSFSHrlVPLo9qi/YiZs4qXdeQfZ1Ch+euZfqK56yc0FOEjocffliZGhcXh1WrVmHkyJEoV64cTp06lSrCwwnroY32EKDQoedOoUPPiEKHnlGo93j51dewafMWW5ZZqFBBjHp5qC1zezNpMGt0eGKXHEc/ffp0dO7cGcePH0+5pH379njrrbeQO3duT4YJSJ/uCeOxZt+2gIytG5QRHTpC5r1OocM8n6RrUdq0FU/MjslZHtW2ZUfM7JWI3vC3J5eETB8KHd65kukr3vEyvffFixchRUm3bduGtWvXKrFDvuT/1atXx7Rp08DUFdO9aK99InRM+/gb3NnkQb8MOXr0GLJly4Y8efy/MZY9HRmZA7ly5fTLpiNHjqBNy9sQFRXl1zgUOvT4KHToGYV6DzuFDmE7afy7xiM2TegQYBLZ0bt3b4wdOzaFX/HixTFz5kzcfPPNtjFtPftV7Dl52Jb5qxWJxZgGnWyZm5P6RoBCh2/cgn5VZmkrnhgTk7U04pdnRfTXixB1KNmTSxzdh0KHd+5j+op3vJzQW3JuN2zYgJMnT6J8+fJK2BABRP4v+bZSqJSNBDIiIELH+vXr0aNHD78g7d27FxEREZYIa7t27VJFdPPnz++XTbt370auXLkodGRCMSkpSfGRvxX+NAod/tALjWvtFjokokMiO0xuJgodwuuHH35Aw4YNU6GTWh1PPPGEbTjrT+9n29wUOmxD7/PEFDp8RhfcCz1NW/HEqriz16L+nH2I+nmNJ90d2YdCh3duY/qKd7xM771582Z07dpVpavIE5hffvlFRXgMHz4c8fHxthcTM50f7QModOh3ASM69IwodOgZhXqP8ROnYPGSpbYts0+v5yC1Okxupgodci/RsmVLJCYmpuDr27cv5OQWidQLdpNIDonosKs1jqmO3rUesGt6zusDAQodPkAL9iW+pK14YmNMznKI+yMCMbNWIGqLvvaHJ2Oa0odCh/eeYPqK98xMvEJumOSkFanTIWkqriZpK7169UL37t1tLyZmIjfalJoAhQ79jqDQoWdEoUPPKNR7zJz9NWbOnmvbMil0+I5+//79aN26NebPn58yiERzvPbaa8iZ078UQl+sktocUqPDrtbuhgZoV7mBXdNzXh8IUOjwAVqwL1mdNA9fJo4M6LQxWa9B/NKLiP5uSUiktlDo8H67NK/aG3GlGnl/Ia8wikBmR8iuXr0an376KQYPHozIyEij7KYxZhGg0KH3B4UOPSMKHXpGod5DojkkqsOudm+zJri3WVO7pvdoXisjOpYtW4Yff/wx1bzNmzdXEZ7eNknza9OmDRYtWmSE0DF5XQIm/57g7TIs69+75gNoHPvfAyTLBuZAASNAoSNgaK0b2N/6HN5aUv9kZcTN2Yqopb97e6kx/Sl0eO8KETlE7GBzNgEROnr27KmKiF177bXInj17yoIyE0GcvWpabzUBCh16ohQ69IwodOgZhXoPOXFF6nTY1ZxwxKyVQoccAes6ec3FXAqQi2DhbUsvdWXQoEGQryxZsng7nN/97TxaVoyXQqRSp4PNOQQodDjAVx8u7Y7tB//LjwuWyTGR1yJuSwRivvoNUdsPBGtaS+ah0OE9Rtbp8J6ZiVecOHECkydPxuLFiyERHFJ08ZZbblFpLCVLllQRHaNGjbKkOKSJ66dN1hCg0KHnSKFDz4hCh55RqPc4cOAgevYZYNsynXDErJVCx5IlS3Drrbem4i01NSSl1VtxwrRipHYWIhWgHzfrBTlils05BCh0OMBXA7+2Px8sBlcj/pcLiP5hmSNSWyh0+LaxWafDN24mXyU3UHv27FEnsEhBMQlFlZue6Gi+WZvsN7tto9Ch9wCFDj0jCh16RuHQo32nJ21dpul1OqwUOnbu3KnqakgRcleTIuRTp05VDzs8bRkdLztnzhzUqFHD02Es62d3IVJZyIJWwy1bDwcKDgEKHcHh7PMsgSpE6qtBMXkroczuLIibtQXRyzf7OkzAr6PQ4RviR28ZA4nsYCMBEghvAhQ69P6n0KFnRKFDzygceth9xKzpdTqsFDrkaPmBAwdi5MjUtf3kAUefPn3Ucd+eNKnz0a5dO4hw4mr33XcfJkyYYMuDErsLkUokh0R0sDmLAIUOw/0V7Poc3uCIyR6LuE1ZUGbGr4j++6g3lwa8L4UO3xCzIKlv3HgVCYQaAQodeo9S6NAzotChZxQOPewWOkyv02Gl0CH7acWKFXjggQdSiRTyc6mtIaev5c6dO8Ntd+nSJRUN0qVLl1THyubNm1dFhdxzzz22bFm7C5FKbQ6p0cHmLAIUOgz3l5y2IqeumN5iLpVE/M/nEDNjmRGmUujwzQ0sSOobN15FAqFGgEKH3qMUOvSMKHToGYVDD+fehEcAACAASURBVLuPmDW9TofVQseFCxcwZswYVZQ8bbvpppvw9NNPo0GDBihWrBiyZs2qukh9L0lxfe+99/DFF1/g+PHjqS7t2rWrihKx41hZMcTu+hw8WtaZf6kodBjuN7sKkfqKJSZ3BZTZlQXVZ25C1Oo/fR3G7+sodPiGkAVJfeNm2lWSW/vTTz9h5syZyrTrr78ekqNboUKFlJsa02ymPWYRoNCh9weFDj0jCh16RuHQw+6TV4SxyXU6rBY6ZL0nT57E8OHD1Ze/7ZFHHsHo0aNRuHBhf4fy6XoT6nPwxBWfXGf7RRQ6bHdB5gaYUIjUV0QxEWUQtwEqyiNqz0lfh/HpOgodPmFTFw1pat8Z5b5bzStdBFxPcuRD2KOPPops2bJh27Zt+Oyzz1RereTpSggqGwlkRoBCh35/UOjQM6LQoWcUDj3sPnlFGJtcpyMQQoesWR56jB8/Hi+88AIOHTrk01aTuh79+vWz9b7B7rQVAcdCpD5tH9svotBhuwsyNsC0QqT+oKqeXAHVftqHmFkr/BnG42spdHiM6oqOPHnFd3YmXHn48GE8//zzePHFF1GiRIkUkyTvdvr06UhKSkLPnj2VAMJGAhkRoNCh3xsUOvSMKHToGYVLD7vrdJicvhIoocO1t3bs2IGXXnop3ZSUjPZfo0aN1L3E7bffbnskaOvZr0KiOuxqLERqF3n/56XQ4T/DgI0QSkKHC1JMrgook3QR1b/ciKjf/6vkbDVECh2+E6XQ4Ts7E648evQoBgwYgL59+6YSOsS2/fv3q2Jkw4YNs6Vqugl8aINnBCh06DlR6NAzotChZxQuPewWOoSzyekrwdgH+/btw4IFCzBv3jxs2rQJy5b9V1cvLi5OpbfWq1cPjRs3RqlSpWwXOISJCWkrjWOqo3etB4LhIs5hMQEKHRYDtXK47QcTITU6QrXFZCuD+BXZEP31IkQdOGfpMil0+I6TR8z6zs6EKyVyQ0JVd+3adUV19e3bt+Pll19WBcXy589vgrm0wVACInR8+tk8NG32kF8WHjl6BBHZIpAnTx6/xpGLDx46iJb31/F77+7evRu5cuVCVFSUXzZR6NDjo9ChZxQuPewuSCqcTT99JVz2gjfrNCFthYVIvfGYWX0pdJjlj1TWyGkrcupKOLS48+UQt2gfYr5eZclyKXT4jpFHzPrOzpQrk5OT8cEHH6jz7uXJTI0aNVRF9Y8//hhSVKxVq1bIkiWLKebSDgMJiNDx0ojJWLHWnH0yuP99eOqxhhQ6MtkvkpomIma+fPn82lUyjghB/tbzodDhlxtC6mIT6nQI0HCP6nDaprL7tBXh9XGzXpD0FTbnEaDQYbDPFmyZjIVbphhsofWmxeQsj2p/XoWYWSsRvWmXzxNQ6PAZHXjErO/sTLtSqq7LcXFr165VR8LddtttuPrqqylymOYoA+2h0KF3CiM69IwodOgZhVMPE9JXbq1zCzp1aBtO2B27VhOiOVifw7HbRxlOocNg/0k0h0R1hGuLyVoa8b8C0d/8hKhDyV5hoNDhFa5UnSl0+M7OlCuluvq4ceOQmJiIli1bomnTpoiIiDDFPNrhAAIUOvROotChZ0ShQ88onHqYkL5iclHScNoLnqzVhGgOpq144ilz+1DoMNc3Km0lnIUOd9dUP3st6s3eg+jFaz3yGIUOjzCl24lCh+/sTLjy3LlzquBobGws6tati/fffx+VKlVCp06dGMlhgoMcYgOFDr2jKHToGVHo0DMKpx6bNm+BRHXY3Uw+atZuNqbMb0I0h7AY06ATqhWJNQUL7fCSAIUOL4EFs7sUIpWCpGz/EYjJURbVtmRTx9RGb92XIRoKHb7vGgodvrMz4cqDBw+if//+6mSVggULggVITfCK82yg0KH3GYUOPSMKHXpG4dTDlDodjOowf9fZfaSsi9CCVsPNh0ULMyRAocPgzUGhI3PnxGQphfilFxE975crUlsodPi+sWMKVoWcvMLmTAJphY60/3fmqmh1sAlQ6NATp9ChZ0ShQ88o3HqYUKdDmEudDqnXwWYeAVOiOSSSQyI62JxLgEKHwb6j0OGZc6IjC6PagSKoPmcron7doC6i0OEZu/R6UejwnZ0JV4qw0blzZzRv3hy1atXCVVddhaFDh6ZEeJhgI20wn4AIHUNGTMZynrqSobModOj3MYUOPaNw67F4yVKMn2h/oX2J6ujT8znIdzazCJhQm0OIsD6HWfvCF2sodPhCLUjXUOjwHnRM5LWI25wVOwqewaq8Sd4PwCtAocPZm+Ds2bNYsWKFKkS6fPly9X3nzp2oXbs2brnlFtSsWRO33norIiMjnb1QWh9QAozo0OOl0KFnRKFDzyjcepiSviLceQKLebvPlGgOIcO0FfP2h7cWUejwllgQ+1PoCCJsTpVCgEJH6G0GKVC6b98+bN68WYkeLVq0QJ48eUJvoVyRZQQodOhRUujQM6LQoWcUjj1MSV8R9n16PYeKFcqHoxuMW/Oek4chtTlMaIzmMMEL/ttAocN/hgEbgUJHwNBy4EwIUOhw9vaQ1JXnnnsOefPmRfXq1VGlShV1Akt0dDSyZs3q7MXR+qARoNChR02hQ8+IQoeeUTj2MOX0FWHPwqTm7MDuCeOxZt82IwzqXfMBNI6tboQtNMJ3AhQ6fGcX8CspdAQcMSdIhwCFDudvixMnTiApKQmbNm3CypUrVSrL2rVrUbZsWTRu3BjdunVjRIfz3RzQFbBGhx4vhQ49Iwodekbh2EPSV6ROhwgeJjSmsNjvhe+2rcLIX7+w3xAAxXJH4+NmvYywhUb4R4BCh3/8Ano1hY6A4uXgGRCg0OHsrXH48GGMGjUKPXv2VFEcrnbp0iUcO3YMu3fvVhEerNHhbD8H2noKHXrCFDr0jCh06BmFa4+Zs7/GzNlzjVi+RHXIKSxMYbHHHSalrAgBpq3Ysw8CMSuFjkBQtWjMLxNHYnXSPItG4zAk4BmBuFKN0Lxqb886s5dxBHicrHEucaRBTF3Ru41Ch54RhQ49o3DtYVJRUvEBU1js24kmpawIBYnmkKgONucToNBhsA8pdBjsnBA2Lb58W9Qv3y6EVxjaS3PV6JCIjooVKyJ79uyhvWCuLiAEKHTosVLo0DOi0KFnFM49TCpKKn64t1kT3NusaTi7JOhrN+mUFVk801aCvgUCOiGFjoDi9W9wieYQsYONBIJJgEJHMGlbP5cIHR07dsSFCxfwxx9/IFeuXKhatSpuuukmVK5cWYkfBQsWZGFS69GH1IgUOvTupNChZ0ShQ88onHuYVJTU5QeKHcHbkVJ4VKI5TGpjGnRCtSKxJplEW/wgQKHDD3iBvpRCR6AJc/z0CFDocPa+SJu6cvr0aezZswcbNmxAYmKiqtExZMiQVPU7nL1iWh8IAhQ69FQpdOgZUejQMwr3HqZFdUgKy713N4EUKGULHAHT6nLIShnNETh/2zUyhQ67yHsw7/aDiZCCpGwkEEwCUp9D6nSwOZMAa3Q402+mWU2hQ+8RCh16RhQ69IzCvYeJUR0sThrYXSkih0RyyHeTGo+UNckb1thCocMajgEZhUJHQLByUA2BR28ZAzl5hY0ESCB8CVDo0PueQoeeEYUOPSP2AEyL6hCfiNjRp+dz6jubtQRMKz4qq2M0h7U+NmU0Ch2meCIDOwZ+3cBwC2leqBEY0jQh1JbE9ZAACXhJgEKHHhiFDj0jCh16RuwBLF6yFOMnTjEOBU9isd4lJoocskoeKWu9r00YkUKHCV7IxIbRC9rgyKk9hltJ80KFQFSuYuhR/6NQWQ7XQQIk4CMBCh16cBQ69IwodOgZsQcgR82K0CFpLKY1ih3WecRUkYPRHNb52LSRKHSY5pE09lDoMNxBIWaepKxI6gobCZBAeBOg0KH3P4UOPSMKHXpG7HGZgKlRHWIb01j836WmihyyMtbm8N+/po5AocNUz/xrlxwvK6evsJFAMAjwxJVgUOYcJGA+AQodeh9R6NAzotChZ8Qe/xEwsVaHyzqKHb7t1I1J2/DBlgWQo2RNbIzmMNEr1tlEocM6lgEZiUfMBgQrB82AAIUObg0SIAEhQKFDvw8odOgZUejQM2KP/whICkvPPgOMRSJix621a+HeZk2NtdEkw8SfL496DXmuLYqf8vxjkmkptoxp0AnVisQaaRuN8p8AhQ7/GQZ0BJ68ElC8HDwNAZ64wi1BAiRAocOzPUChQ8+JQoeeEXukJiC1OiSNxeR2b7MmFDs0Dkp7bHDh6rFYGW3WcbIsQGryb5k1tlHosIZjQEdhnY4r8dYodSduib0fhfNcg6xZsuHipQvYf+IvLN02AyuTvr3igvT6Hzq5G4v//DTd/mkHyJejMBpW6oTyRWoix1V51Mtnzp/Aln2/4vuN43HszP6US6TORaNKT6B4/rLIkiUrTpw5hCXbPsOSbV8EdJ9YMThPXLGCIscgAecTkIiOISMmY/naLAFdTOsWt6LnM3ejYvkSiIjIhhMnz2DONyvRtfsEHD9xJtXcg/vfh6cea4j8+fP7ZdPu3buRK1cuREVF+TUOhQ49PgodekbskZqA6VEdLmspdmS8c2fO/hozZ89N1UGiYfaUz47dOVP/Xbdz/y9oNdzO6Tl3EAhQ6AgCZH+n+HBpd0hkB9tlAndU7Ig6sQ8gW9arlNhw/Mwh5MtZCDkiciP54jklKMzfNCEFV3z5R3Dbta0QkS17Sv+8OQooweLCxfP4eesnWLBlcoZ4i+QtjQfjBqBYvlglqBw5vU/1jcpZFFmzZMWeY9vw+eqh2Hd8JyIjcqFDrVGq79YDK3Hy7GFULFpbCR5z1r2BdbsXGutGnrhirGtoGAmkInDp0iWcPXsWOXLkSPn5ihUr8MYbb6ivAgUK+E0sGEJH4zuq4t03HkNk5FWY9snP2PrnHjzWoQGur3Q1PpiUgGd6TaLQ4aUnk5KSlBCUL18+L69M3V3GESEob968fo1DocMvfGF7scmFSd2dwrodqbeo7vQck8QORnOEx58XCh0O8DMLkv7npFLRldCi+kDkz1kE2w6sxvQVg3A2+RQk4uL+as8jplA1HD29D5+tGoKkwxtRKPfVaHPTUBTMc3Wq/iJItLpxMGILxeHgib/x0fIBOHDy73R3Q7PKz+LGa5qoeb7fNB7Ld85R/WrF3IcG5dsrcWPFX3Mxe93rqFKyAe6u/Az2Hd+BD5Z0U/0aX9cZtcrch9V/f4dZa19TP6tfvh2qXf0/LPrjI6xKJwLFjm3J+hx2UOecgSawefNmtGzZEomJl8XiypUro1+/fvg/e2cBJlX1/vGXriWW7m7JBaSRkFAQKUklBAEVlJTublBQREoapBEpBURaQVJKSmqJpTv/z/fwv/O7Ozuzd2Z35k59z/P4qDvnnvicc+8953vf9z0NGjSQ2LFju7t6t5T/77//ysSJE2XEiBFqIwrRY9y4cVK3bl3Jly+fS+o0I0bHtxPaSPOmFWTSt+ukz6CFqt01a4TI91+3lWvX70hI2R4UOpwcTQodTgJjdq8kYLRh9qZGM27H69FwVJwKTh4s10ISy5VX9zw2jAxA6jH0pldMocN05M5XyICk/2MWkukdqfnG5+oPa49OCScSFM1UXWq+0UFiSAzLbyWz1pFq+T5Rlhs/H/lGDl36zVJYgXRvSe1CnZVlyMZjP8iecyttDs7HpcdJthRF5GzYAZm5q2u4PK1KjZHsKUMsv0G8qFXgC7l0+7jM2t1d5a2Sp6WUz9FYDlz8VVYeGisQaz4o2kf99tPfw5Qg4w2J8Tm8YRTYBlcTgNAxcOBAmTx5sqRIkUKuX78uPXv2lKZNm0qVKlVcXZ3flGeG0DFpTEsJKZxdho9dIes2/q3Y5cuTQVYs7CZPnj6XwqVeP0O1RNcV4+lFocOYEXP4BgFfcWHRaELwaNOqueTNk9s3ALuolVERpSB2XC0XLKEPPBOzY0Ht7gKxg8n/CVDo8IExvv0wVBCng0kEbigVcjaTR8/uyrIDo+T09X0WLLDOqF+kpySMm1S2/Ttftpycq0SHN7O8p6w1vt/+ubLK0BIsMdqVmyIpgzLJvv/WWqwtrDl3eGu6pEmcTf6+uFGWHxgV7uc6hbpJsczvyNV7Z2Xy720csuhoFNJP8qQpreKDROYyY/Z4Mz6H2cRZnxkErIUO1Dl//nxVdfHixeXbb78VxFp4//33pVq1atKnTx9ZtGiRvP3229K/f38pUqSInD9/Xr766iv59ddfpX79+nLv3j0lnBw/flxWrlwpu3btksGDB8vhw4dlwoTXVltDhw6VJk2ayO7du2X27Nny8uVL+emnn+TLL7+UPHnyqN/jxo0rU6ZMkfLly8uBAwdUGStWrJCGDRsqC42MGTPKqVOnpEePHqruxo0by7Bhw+TmzZsyY8YMGTRokNy/f99mm9FHtOfkyZPy+++/qzxffPGFw1YsZriu2Br/xg3KCgSQ7buOS/2m48JlodBhfMdQ6DBmxBy+Q8BRKwFv6lG5sqWlzns1BcKHvydbsTgc7XOS4KRyo3wK08UOuqw4OkL+kY9Ch4+MIwOSvh4ozQojTqx4SsjY9u8CywiWyVZfxe9AnI7VhybIkSu/iyZE/HfrqMWVRD/kn5T9WjIHv2FTxNDyNSsxRMXZuHLnX5mxq7NFLIFQ0qLkKMkUnF+OX90p8//sZxijI0GcxFI1Xxu5fPukLPirfzjhxZNTkfE5PEmfdbuTgLXQcevWLSUcwJ0FQgIEB7iApEuXTgkNuXLlUgIFXo7jx4+XkSNHytSpUy1/h2jw9ddfK6EBQgdEDOR79uyZnD17VgoUKCAPHz5UwkKXLl3k6tWrMmbMGCVoJEqUSIkNxYoVk/bt2yshAqIK6oU7CixO0qdPL7/88oscOnRI5UVbIXCULl1a5s2bp0SOd999V9UPIQZlW7cZf9u0aZMSR0aPHi0vXrxQ7joDBgyQLFmyOITbE0JH4qD4smZpTxWY9Itus2TJ8vAnL1DoMB46Ch3GjJjDdwhExVrAG3rn7+4s0RE49OOTLn9W2ZPujmlDRpcV01B7TUUUOrxmKCJvCL78bzk5x0da695mNgzpKwXSV1SnmWz9d77sPbdK3sz6vlTM2UyC4ieXo5d/l8X7h6hGaK4lZ27st7iS6Ftn9Dvy5k9bTmoV/EISxQ2WE1d3ya8nXgc6fTtPa2WZ8ejpXVl9eIL8E7pd/d3eqSsnru6WRsX6q/gi3haYlPE53DtnWbrnCFjH6IA1RefOnaV169Zy+vRpi2XE48ePlTgBK4lUqVIpcQD/XalSJVm4cKFyf4EIERYWpvLBsgJCx+bNm6Vfv37y/PlzVRYsOlBn4cKFZfHixXLjxg1LHlAYMmSIVK5cWcqWLavyaZYZCNqIciEwwGIE4gcsO6ZNm6auwSkhqAPxOJAX16Ef+M26zbBOQdvOnDmj2vbo0SMlcqDP6L8jyRNCx8zvPpWG9UrLgiXbpW3HaRGaSaHDeOQodBgzYg7fIuBrLix6uv4meEDg2L5zt2BMXJWylswv24KuuKq4SMuhy4opmL2qEgodXjUc9htD95X/sYElxfuFukj+tOUlVsz/BRN88fK5/BP6h6w6NN5iKWEkZBj9rtVaOMPbUiVPKwlOmDbcIN16GCq/nZglBy/9ajiT4EZTPPO7Ku+Kg2MN85uZgfE5zKTNuswkYMt1RatfLzREJnTA5UQTE+wJHXBRWbBggbIQiRMnjkVYcETo6NWrlxJOatWqJRUqVFCuMBBQrIUO63b7k9AxuF8j+fLTd2TnnpPS8KPxEY6WRd8pdBjfORQ6jBkxh+8R8EUXFn8RPCBqbN+5y+UCh56PGWLHVyUbSI3sIb43+dniaBGg0BEtfOZeTPeV17xx2glOLcHxsLCmuPs4TJLETyEJ4iZRx7nCpWXv+dUqr5GQYfQ7ysCJLvWKfKVOaHn58rncenRVlR2cII06Nvbf6/uUuHL38XW7EwJWIbULdpYHT2/L4v2D1VG03pLotuItI8F2uIOAo0IH4mVExXVFs+jYtm2bssaA5QQ2m7CkgBWII0IH3FNgmdG8eXN544035Mcff1QuL3B90buuIB4IrDlq1KjhkOtKdC06Bo/4Uf46FMMdwxKuTEdEDgodjg0DhQ7HODGX7xFwlbuEJ3sOCw8EKy1XppTXBy3VBI6Vq9eagixVSHbZF+ye4KQ1soXIV6UamNIPVuJdBCh0eNd4RNoauq+I5Er9ptQt1E0SxQuWQ5d+VQFJkWDl8V7BTlIwfaVwriRGQobR7yi7QdHeUih9Jbn3JExWHhovp67tVXXmS1tWahXoKInjpwznLmM9iGhb0+KDJWNwPtl0fLrEihFLyuVopPrw6tVLuXT7hKz751uPnb5CtxUfegiwqU4TcFToSJAggTqRxVYwUogOXbt2lXXr1kUIRqoJHQ8ePFDxPOBqAiECCdfADUXLg7/Zc13B8beIyQHLkurVqwvaA9EEYoUWjLRly5ZKPEE7HQlG6gtCR9tWb8vQAY3lwsUb8mHrb+TYiUt2x5gWHcbTn0KHMSPm8E0Cvhqvwx5tbxQ9zBY39GzAIzR3XLmc4LFLJ2iR1NllfJU2Li2ThfkOAQodvjNWcjbsoMzc1cWHWuz6pr5fqLMUy1xTrt87L9N2dAwXzDNloozSrMRQSRGUUf6+sF65h2jBSC/fOSXf/dE+QoOMgpFmSV5QGob0kURxk8kfpxfJbydmhysDR9eWydZAWWosOzBSztx4fUSiPsH6BMLG6Rv75VjoDqmRv50SOE5e26tOiMmRsqiE3j0js3Z380hw0q6V5wusOphIgARsE4Cw8OrVKxW747ffflOBPiFYwArEX5MZMTpqvF1Yvpv0icSNG1vGf/OzhF79X1C6Fy9eysHD58IJHxQ6jGcbhQ5jRszhuwSwER85doJLY0R4Aw1N9MibO5c6rcWsI2o1YQMMzLLciIw3+n6lSCK58uqeS4aFwUddgtGnC6HQ4WPDF+juK0YWGNa/O3S8bKKMsvf8Gvn5yNcRZkORjFXVEbVI+P3AxU3h8hj9nik4n3xQtI/EjBFLlh8cLYXSV5EiGd8OJ5pAbEkVlNlyUoyZU5JuK2bSZl2+SkB/9GvdunVl1KhR6qQTf05mCB0Den8g3b98Twkd1unp0+cyZtIaGTT8J8tPFDqMZxyFDmNGzOHbBHw5OKmj5PXCB65xhfgBbsdPnJQbYWFyI+ymIO6JN6bg5MFyLSSxS8QOWHLAooMpcAlQ6PCxsQ909xWcuAL3lGv3zkWw6ICLSNuy30jqxFnl8OUtsmT/UHUaS/W8n8iLV8/l5yPfyKFLv1lGvFCGKsr1JFbMOLLx2A+y59zKCLMhb5rSyiokfpxENi06quRpKeVzNJbHzx7IykNj5fjV8C+ORiH9JG/asrLzzE+y6fgMy3G0etEE4kyGZHltCinunp50W3E3YZZPAr5JAEKHWTE6HCVEocOYFIUOY0bM4fsEvCU4abfOHaXAG/nDAd32xw6Z+eM8t0CG4KGEjxQplPjx+r+Th6sLIgaSdjKKEjZceEqKWzpmVSjEjqvlgiX0QdRjdjD4qBkj5f11UOjw/jGK0MJAturQhIuYMWPJrrMrZOOx/x1BWC1fWymdra4yMd96aq5s+3ehwJ2lcfGBSvw4e+OAiumBoKEQRZoUH6QCjIbdvyjz/+wrNx5cVHE38qYpo1xIcGwt/tamzESBC8vVe2dl1aFxllgasNZ4v1BXSZM4m4qzYe168maW2lI1Xxu5dveszNnbS5UJ0cRbLDpozeGDNz+bTAImEaDQYQz6ypUrEj9+fAkODjbOHEmO0NBQiRcvXrTLQRUUOqI1FLzYhwh4Q3DSHt06qVO2ho4Y40PkfKOpqbOkk4uFE0RJ7GhRoIq0KFjFNzrKVrqVAIUOt+J1T+Fwgfj7wgb3FO4DpSIOR+7UJSVGjBjy8MkduffkpiSOl1wSxkuqRI5T1/fKT/uHWeJdlMjynlTL20ad0vL4+QO5++iGJI6fXP3/8xdP5Y/TC9VJLUiahcaDp3csMTfgnlI9XzsJihcsz18+lduPrqm8yRKkltgx48qDJ7dl4/Hpsv/CunD03s7bWgqmryi/Hp+pLEyQQjK9Y4nRcfzqThWQNGfKYh6J0UFrDh+Y7GwiCXiIAIUOY/AUOowZ4ZSgtGnTSuzYEd2TjK9mDhKInICnxY7hg/vLzVu3ZOyEbzhUbiCQLn9W2ZPuf7GbHKmCJ6w4Qilw8lDo8MGxvv0wVGbs7ir4d6AmuIuUyFJLkiZIreJfvHz1Qu48uiYHL/0mv52YFQFLsUzvSOns9VUsDC3/zQeXZfvpxbJPJ1DYEjpQGKw3Kub6SFl2xI2dQJX/9PkjuXj7uPx+ap4KFOtoKpu9gVecuvJx6fGSLUVhR5vNfCRAAgFEgEKH8WBT6DBmRKHDmBFzRI+Ap8SObFmzyOftP5GgxEESL25cefHihYqBsWDxUrl8+Ur0OsWrLQSylswv24Ic48kTVjhxrAlQ6PDRORHoVh3uGra6hbtJ0Uw15Mqdf22e0uKues0ul24rZhNnfSTgWwQodBiPF4UOY0YUOowZMUf0CHjqSNS0aVLLB/XryL37D2Ttug1SpdJbUrliBdmxc7f8OG9h9DrFq8MRcETsoMjBSWOLAIUOH50XPGrW9QOXOnEWaVp8sCRLkMZm4FHX1+i5EmnN4Tn2rJkEfIEAhQ7jUaLQYcyIQocxI+aIPgGIHdNnzVEWFZ5Mg/r1UtUPGDLCk83wu7oReDVu/jSyO45tyw6KHH435C7rEIUOl6E0v6BADkrqDtoF0leUKnlaya2HV2TxvsGWGB/uqMuTZdKaw5P0WTcJ+AYBCh3G40Shw5gRhQ5jRszhGgJmW3bAeqPkm8Xll/Ub5eChI6oTFDpcM5a2SoHYEZo7rlxO8DjczxQ53MfcH0qm0OHDicr8WQAAIABJREFUo4iApHBhYSIBZwjQmsMZWsxLAoFJgEKH8bhT6DBmRKHDmBFzuI6AmWJHsZAi0uKjpvLv6TMyb/5iKV+ujFSvWln27P2LriuuG9JwJeHY2WshieXKq3vq7xQ53ATaj4ql0OHjg0mrDh8fQJObT2sOk4GzOhLwUQIUOowHjkKHMSMKHcaMmMP1BMwKUFqjWhV5p3o1SZIkMYORun4YbZaoiR2Fs+aSr0o1MKlWVuOrBCh0+OrI/X+7adXh4wNocvNpzWEycFZHAj5KgEKH8cBR6DBmRKHDmBFzuIeAWWKHe1rPUiMj8EHT+lKz8tuERAKGBCh0GCLy/gw8gcX7x8gbWkhrDm8YBbaBBHyDAIUO43Gi0GHMiEKHMSPmcB8Bih3uY+upknt27yx58+T2VPWs18cIUOjwsQGz1dzbD0Nlxu6ugn8zkYA9ArTm4NwgARJwlACFDmNSFDqMGVHoMGbEHO4lgLgdI8dOEPybyXcJIBhpm1bNKXL47hB6pOUUOjyC3fWVbj75o2w5Ocf1BbNEvyBQKXdzqZy7hV/0hZ0gARJwPwEKHcaMKXQYM6LQYcyIOdxPgGKH+xm7swaIHGNHDnVnFSzbTwlQ6PCjgWVgUj8aTBd2hS4rLoTJokggQAhQ6DAeaAodxowodBgzYg5zCJh5Ios5PQqMWsqVLa0sOZhIICoEKHREhZqXXnM27KDM3NXFS1vHZnmKAF1WPEWe9ZKA7xKg0GE8dhQ6jBlR6DBmxBzmEmDcDnN5R7U2uqpElRyv0xOg0OFn84GBSf1sQKPZHbqsRBMgLyeBACVAocN44Cl0GDOi0GHMiDnMJwDrjumz5sjxEyfNr5w1GhJAsFEEHWUigegSoNARXYJedj0Dk3rZgHiwOXRZ8SB8Vk0CPk6AQofxAFLoMGZEocOYEXN4hgBdWTzD3ajWOrVrSp3atYyy8XcScIgAhQ6HMPlWJgYm9a3xcldr6bLiLrIslwT8nwCFDuMxptBhzIhChzEj5vAsAVp3eJa/VjtdVbxjHPytFRQ6/G1E/78/FDv8dGAd7FbRTNWlXuGvHMzNbCRAAiQQngCFDuMZQaHDmBGFDmNGzOF5ArTu8NwYQOAoV6YUrTg8NwR+XTOFDj8eXp7C4seDG0nX6LISmOPOXpOAKwlQ6DCmSaHDmBGFDmNGzOE9BCh4mDsWdFMxl3cg1kahw49HnfE6/Hhw7XSNIkfgjTl7TALuIEChw5gqhQ5jRhQ6jBkxh/cRoDuLe8eEbiru5cvS/0eAQoefzwYcOYuTWCB6MPk/Acbl8P8xZg9JwAwCFDqMKVPoMGZEocOYEXN4L4HtO3bJyjVrBcIHU/QJQOCo815NKVe2dPQLYwkk4AABCh0OQPL1LIzX4esj6Fj7EZMDsTmYSIAESCC6BCh0GBOk0GHMiEKHMSPm8G4CEDlwDO32nbt5HG0Uh4oCRxTB8bJoE6DQEW2EvlEArDr+vrDBNxrLVjpNgMFHnUbGC0iABCIhQKHDeHpQ6DBmRKHDmBFz+A4BWHhQ8HB8vChwOM6KOd1DgEKHe7h6ZakUO7xyWKLdqGwpCgtcVphIgARIwFUENKHjyo0U0SryxYsXEiNGDIkZM2a0ysHFbVu9JZ99Uk2SJk0arbIuX74sCRMmlGTJkkWrHAodxvgodBgzYg7fIwArD7i0QPhgikgAQUbLlSktEDqYSMCTBCh0eJK+B+qeuauLIG4Hk38QYPBR/xhH9oIEvI0AhI6jR49K165do9W0q1evSuzYsSVFiugveC9duiRBQUEUOiIZkQsXLig+SZIkida4oRwIQYkTJ45WORQ6ooWPF3s5Ae2UFlh5BHocDx4T6+WTNUCbR6EjAAeex876x6DTksM/xpG9IAFvJEChw3hUaNFhzIhChzEj5vAPAlocj0Cy8tDEjZQpUjDAqH9MY7/rBYUOvxtSxzpEscMxTt6aiyKHt44M20UC/kGAQofxOFLoMGZEocOYEXP4FwEteOnxk6f80rWF4oZ/zVd/7w2FDn8f4Uj6R7HDNwefIodvjhtbTQK+RIBCh/FoUegwZkShw5gRc/gvAYgeN8Jen9py/MQpnz21RRM38ubJLfiHiQR8hQCFDl8ZKTe08/bDUJmxu6vg30y+QYAih2+ME1tJAr5OgEKH8QhS6DBmRKHDmBFzBA4BvbWH9t/e2HtN2EDb6tSu5Y1NZJtIwCECFDocwuTfmXgai2+ML0UO3xgntpIE/IEAhQ7jUaTQYcyIQocxI+YIXAKaxYcSPU6eUgFNYf1hVoKggfgaefPkUlXSYsMs8qzHLAIUOswi7eX1bD75o2w5OcfLWxm4zaPIEbhjz56TgCcIUOgwpk6hw5gRhQ5jRsxBAtYE9AIIXF9uhN1UWbSTXfA3/f/jv+0d5Qoh47WgkVxdo/0/XVA47wKBAIWOQBhlB/sIsePvixvpyuIgL7OyVcrdXCrnbmFWdayHBEiABGTDhg3qeNkuXbpEi8a1a9ckVqxYLjteNlGiROrY0+iky5cvS8KECaNdDoSOBAkSRLuc0NBQiRcvngQHB0enW+paCAs4XtYVx8LiiNroHlOL9qRJk0bixIkT7b6xABIgARIgARJwhgCFDmdoBUDes2EHBa4sjNvh+cFOljCt1Cv8lcCag4kESIAESIAESIAESIAESIAESMAxAhQ6HOMUULkYpNTzw01XFc+PAVtAAiRAAiRAAiRAAiRAAiTgmwQodPjmuJnSagYpNQVzhEroquIZ7qyVBEiABEiABEiABEiABEjAPwhQ6PCPcXRbL+jK4ja0Ngv+uPR4uqqYi5y1kQAJkAAJkAAJkAAJkAAJ+BkBCh1+NqDu6g6tO9xF9nW5cFVBPA7E5WAiARIgARIgARIgARIgARIgARKIOgEKHVFnF3BX0rrD9UPOgKOuZ8oSSYAESIAESIAESIAESIAEApsAhY7AHv8o9Z7WHVHCFuEixuJwDUeWQgIkQAIkQAIkQAIkQAIkQAJ6AhQ6OB+iRADWHVtO/ij4N5NzBOCmUil3C8bicA4bc5MACZhA4NWrV7Jq1Srp37+/3L17V3r16iWtW7eW2LFjm1C77SpOnTolPXr0kBUrVkjdunVV24oUKeKx9mgVP3/+XAYMGCDx48eXfv36ebQ9GLc9e/bIqFGjJG3atDJ+/HhJkCCBx9r06NEjmTRpkkydOlW1YdCgQdKsWTOPziOPwWDFJEACJEACHiFAocMj2P2nUrqzOD6WdFNxnBVzkgAJeIbA+fPn1aZ08ODBkjRpUiUwQOgoVqyYRxqEDTPaUKdOHalYsaJs3rxZCTGjR4/26EYeMNCWoUOHSqVKlTwudPz111+qLX379pWQkBCJGTOmR8ZLq3T37t0yc+ZMGTdunNy5c0f69OmjGOXMmdOj7WLlJEACJEACgUOAQkfgjLVbe0rBwz5eWHAUzVhdimaq7tYxYOEkQAIkEF0CO3bsUBt4zUJh/vz5qkh8jfdEevLkiRw7dkzy5csn8eLFk7Nnz8q0adOUVYcnLRZCQ0Nl7NixUrZsWcFCypMWHS9evFDCVIUKFaRKlSqeGKYIdR44cEB++OEHGTlypNy/f19GjBgh3bp1k8yZM3tF+9gIEiABEiAB/ydAocP/x9jUHv59YYNsPjVHbj8MNbVeb6yMLireOCpsEwmQQGQEvE3o0Lf15cuXavMM14z333/fYwMJlxW4hlSuXFkgxOiFIU806t69e9KzZ0/VFrj3FC1aVKZMmSJ58uTxRHNUnRiryZMny5dffimpU6eW7777TurVq+ex9rBiEiABEiCBwCNAoSPwxtyUHmsxPG49uhpwogcsN2DBAaGDiQRIgAR8iYC3Ch2IQbFw4UK5ePGidOnSxaOxHiBswMWnZcuWsnPnTo8LHWFhYcq9qEOHDsqNZsuWLR5374Erzbx582TIkCEq1gssThDvJWvWrL50O7CtJEACJEACPkyAQocPD54vNB2WHfsvbpC/L270e8EDAkflXM0FsTiYSIAESMAXCXij0AGRA5t3BNvs1KmTR11WEDOkc+fO8v3334cb3nbt2smECRM80jbEwEBQVMTBSJUqlUD4wH8PGzZMUqRI4ZFpaO3yBMEDFjBw9WEiARIgARIgATMIUOgwgzLrUAT80cqD1huc3CRAAv5EwNuCkYLt77//riwUsFlOlCiRV+G2FoY80TgIQRMnTlQiR5MmTZQotH79eiV0IK6JJ9LatWuVpQssOeBaA2sOuLF4w2k5nuDBOkmABEiABMwnQKHDfOas8f9Fj7NhB3zS0oPiBqcwCZCAvxLwtuNl7VlQbN++3SusA7xB6MBcvHnzpgwcOFBmz54tb7/9tjpmNleuXB6bphg3BI2FlUuSJEmkd+/e0qBBA4+6HHkMBismARIgARLwCAEKHR7Bzkr1BGDpAdHjXNhB8caYHhA2siUvrGJu0C2Fc5cESIAESIAESIAESIAESIAEvJsAhQ7vHp+AbB2EDyRPiB/aEbAUNgJy6rHTJEACJEACJEACJEACJEACfkCAQocfDGIgdAFBTTVrj1uPXh9de/v/T3TB39X/2zjS1toCIzhBGmWVkSxBGglO8DpoqHY6Cq01AmEmsY8kQAIkQAIkQAIkQAIkQAL+ToBCh7+PMPtHAiRAAiRAAiRAAiRAAiRAAiRAAgFEgEJHAA02u0oCJEACJEACJEACJEACJEACJEAC/k6AQoe/jzD7RwIkQAIkQAIkQAIkQAIkQAIkQAIBRIBCRwANNrtKAiRAAiRAAiRAAiRAAiRAAiRAAv5OgEKHv48w+0cCJEACJEACJEACJEACJEACJEACAUSAQkcADTa7SgIkQAIkQAIkQAIkQAIkQAIkQAL+ToBCh7+PsIv69/jZAzl/87BcuHVUwh5elhgSQ1IFZZbMyQtI1uSFJFbM2C6qyUPFhIWJ/PWnyIEDIhcviMSJI5Ijp0jJkiLFS3ioUayWBEiABEiABEiABEiABEiABEjAWQIUOpwlFoD5j1/dIX9f2Cj/hG632fsiGatKSKYaki1FEd+ks2a1yPJlItt+j9j+WLFEGjQUadhIpIiP9s83R4WtJgESIAESIAESIAESIAESIIEoEaDQESVsgXPR3xc2yPpj38vDp3ci7TSsO6rlayt505T2LThz54gMHSzy/Hnk7S5cWKRHL5GSpXyrf2wtCZAACZAACZAACZAACZAACQQYAQodATbgznQXriq/HJ0il++ccuiynKmKSc03OkjKoMw287969Uq2/vGPjBq/Sjb/fkRy50onLZtVlHatq0rioPjy6PFT6dZ7rpQrnVeafFDWoTqjlWnzbyJDh4icP+dYMdVriAwYJJImjc38O/eclOafTJY5P3SQMiVzW/KE3bwvLdpOlt7d61n+bs2iQP5M0r5NVfmoSQVJED+uY+1hLhIgARIggWgRCAsLk2bNmsmGDRvCldOmTRuZNGmS4PcBAwbI0qVL5c0335TRo0dLSEiIDBkyRPr37x/umoIFC8qSJUskb968cu7cOenSpYvKnzNnTpVv06ZNgkVX586do9VmXkwCJEACJEACJGBMgEKHMaOAzbH60AT587+fnep/lTwtpWKuj+wKAQOGLpHB/RpKSOFscv/BE/l22gYJu3lPRgxuqq4xVejo8JnIul+c6p8MGiLyof3+VawxUN6vVUK+ndBaUqVMosq2JXSs+WWfDBm1TIb0byTFi+aQsLB76v9z5UgrvbvXldixYznXLuYmARIgARJwmsDLly8lRowY8uzZM+nXr580bNhQihUrpsq5evWq9OnTRyB6QOQ4evSoTJgwQcaOHSvJkiWTmDFjyurVq+X06dPhxIsXL16ofHv27JGuXbtKqVKvLQG///57SZcundSuXdvpdvICEiABEiABEiAB5whQ6HCOV8DkvvHggsza1U3uPr7hVJ8zJssnLUqOlPhxgiJcN2rCKnn65Ln07VFPLSyRzp2/Ll92nyWjh30omTOlNE/oOPC3SJNGIk+fOtU/qVRZZPpMm9fAoqP9Fz9IyhSJpW7tN6VDu+qqn9ZCx63bD+TTTtOldfNKUrVyIUtZYNHm86kyeuiHElIkm3PtYm4SIAESIIEoE7hz54707dtXevXqJenTp1flzJgxQ+LHj68sPpCePn0qQ4cOlaZNmyqrDSQIGgUKFJCqVata6j5x4oTMnTtX3nrrLbly5Yo0b95cXWstpES5sbyQBEiABEiABEjAkACFDkNEgZnhbNhBmbmrS5Q636XyPAlOmC7CtSvX/CnTf/xNJo1uJTmyR3T/MNV15Ze1Ih0/d75/EGgOHBYJiijkQOgYPma5dOlYS/oPXSKTRreUYkWzRxA69h84K/2HLpYfJreTdGmDLW14+vS59Bm0SAoXzCIfNi7vfNt4BQmQAAmQQJQInD9/XiZOnCiDBw+WxIkTy+PHj2XgwIHSsmVLi6hhLXTg/wcNGiSNGjWSQoVei9bPnz+X4cOHy7vvvitBQUGybNky6dmzp9y/f1/9G/9kyZIlSm3kRSRAAiRAAiRAAo4ToNDhOKuAynnq2p8yZ2/PKPW5U6U5kiJRhgjXQsiYNvNXGf/1z1KhXH6pU6uEVK1SSJIkTqDymip0LP1JpEf3KPVPDh8VSZgowrWa0DH7+89l1c9/yo7dJ2Ti6Jby7NmLcDE6tHw/TusgKZKHF0yGjVmhyu3TvW7U2sarSIAESIAEnCawb98+WbVqlYrHEStWLBWbA24rw4YNkxQpUqjy7t27p+JydOrUSYkVtqxADh06pOJ54Nq7d+/KuHHj1H/fvHkznJDidAN5AQmQAAmQAAmQgFMEKHQ4hStwMkdH6Ojw1nRJk9i+68W163dl8++HZfHSnXLqTKgM699YatcsLo+fPDPPdWXVSpEunZwf0CRJRDZsEkkd0SJFL2DEjBlDPus8Xd6uWFDF7GjZboolGCmFDuex8woSIAEScCcBxNqAm0m7du1UNbdu3VICBSw2UqVKpf4GEWPRokVKDIkXL55YW4E8efJEXQNxQ0tlypSRBQsWyI0bN8IJKe7sC8smARIgARIgARIQFQA8SZIkEuMVjoFgIoH/J3D7Uah8vbW1PHvx2CkmqRNnkc/KT5NYMWMbXocpt/n3ozJq/EqZPqW9pEqVxDyh48hhkfffM2xjhAylSovMX2jzOmsBY9/fZ6RrrzkydEBjGTlupUXooOuK89h5BQmQAAm4k4B1rA0EFIUbS65cuVRMjsuXLyvRA64sZcu+PhXM2gpk7969smLFCuXyAiEE7ziczlKtWjW5du1aOCHFnX1h2SRAAiRAAiRAAhQ6OAciIbDq0AT5y8lTVyrl/kgq524ZodR79x/LF91myfs1i0ud90pYfr9+4660av+t9OvZQAoVyGye0PH4sUj3riKI1eFM6ttfpNXHDgkdL168lIlTflFH6V69dke+HttKHS9rLxjp5Ss3pV3HH2RQ34YMRurMmDAvCZAACUSDgK14HCju+vXrykIDVhxFihRRAkalSpUswbQXL14ssOJAsNEHDx6oYKatWrWyxOtAGXPmzFGuMBA6cNyslqpXry7z58+3uMVEo/m8lARIgARIgARIwAYBWnRwWtglcP7mEVlxcLSEPbjkEKVMwfmlfpGeNuNzoIAly3fJ3AXbpH+vBirg5oOHT2TW3C2yd99p+WZsKwkKim+e0IEGbdks8lU3kZs3HeqfVHhLZPwEkeDkDgkdaqF846581nmGitmxdf1AJXQg2TteNn26YBnct6HEixfHsTYxFwmQAAmQAAmQAAmQAAmQAAmQQDgCFDo4ISIl8Of5n2XLqTly73FYpPlSBWWRynmaS4F0Fe3me/nylWzbcUwmf79etvx+RIKDg6RalULSu1tdyZghhbnBSLVWzpguMnGCyMMHkc+EIkVEOnwh6nhZO8le7A30+eNPv5M5P3SwCB0wad76xz8yavwqZfFRIH8mad+mqnzUpIIkiB+Xs5IESIAESIAESIAESIAESIAESCCKBCh0RBFcIF12LHS77Dm3Sk7f2G+z2/nTlpOSWetI9pRFfRPLiuUiC+aL7N9nu/3v1xFp3lIEYgcTCZAACZAACZAACZAACZAACZCAVxOg0OHVw+M9jbv1MFQu3Doql++ckpsPL0uMGDElRcIMkik4n2ROXkASxU3mPY2NSkvOnn0tdBw9KnLpokicOCLZs4sUDREpXkIkceKolMprSIAESIAESIAESIAESIAESIAETCZAocNk4KyOBEiABEiABEiABEiABEiABEiABEjAfQQodLiPLUsmARIgARIgARIgARIgARIgARIgARIwmQCFDpOBszoSIAESIAESIAESIAESIAESIAESIAH3EaDQ4T62LJkESIAESIAESIAESIAESIAESIAESMBkAhQ6TAbO6kiABEiABEiABEiABEiABEiABEiABNxHgEKH+9iyZBIgARIgARIgARIgARIgARIgARIgAZMJUOgwGTirIwESIAESIAESIAESIAESIAESIAEScB8BCh3uY8uSSYAESIAESIAESIAESIAESIAESIAETCZAocNk4KyOBEiABEiABEiABEiABEiABEiABEjAfQQodLiPLUsmARIgARIgARIgARIgARIgARIgARIwmQCFDpOBszoSIAESIAESIAESIAESIAESIAESIAH3EaDQ4T62LJkESIAESIAESIAESIAESIAESIAESMBkAhQ6TAbO6kiABEiABEiABEiABEiABEiABEiABNxHgEKH+9iyZBIgARIgARIgARIgARIgARIgARIgAZMJUOgwGTirIwESIAESIAESIAESIAESIAESIAEScB8BCh3uY8uSSYAESIAESIAESIAESIAESIAESIAETCZAocNk4KyOBEiABEiABEiABEiABEiABEiABEjAfQQodLiPLUsmARIgARIgARIgARIgARIgARIgARIwmQCFDpOBszoSIAESIAESIAESIAESIAESIAESIAH3EaDQ4T62LJkESIAESIAESIAESIAESIAESIAESMBkAhQ6TAbO6kiABEiABEiABEiABEiABEiABEiABNxHgEKH+9iyZBIgARIgARIgARIgARIgARIgARIgAZMJUOgwGTirIwESIAESIAESIAESIAESIAESIAEScB8BCh3uY8uSSYAESIAESIAESIAESIAESIAESIAETCZAocNk4KyOBEiABEiABEiABEiABEiABEiABEjAfQQodLiPLUsmARIgARIgARIgARIgARIgARIgARIwmQCFDpOBszoSIAESIAESIAESIAESIAESIAESIAH3EaDQ4T62LJkESIAESIAESIAESIAESIAESIAESMBkAhQ6TAbO6kiABEiABEiABEiABEiABEiABEiABNxHIMpCx/nz593XKpZMAiRAAiRAAiRAAiRAAh4kkCVLFlNr59raVNysjARIwA0EzH5uRtYFCh1uGGAWSQIkQAIkQAIkQAIk4NsEzF6wU+jw7fnC1pMACYiY/dyk0MFZRwIkQAIkQAIkQAIkQAJOEDB7wU6hw4nBYVYSIAGvJGD2c5NCh1dOAzaKBEiABEiABEiABEjAWwmYvWCn0OGtM4HtIgEScJSA2c9NCh2OjgzzkQAJkAAJkAAJkAAJkICYb4JNoYPTjgRIwNcJUOjw9RFk+0mABEiABEiABEiABPyagNkLdgodfj2d2DkSCAgCZj83adERENOKnSQBEiABEiABEiABEnAVAbMX7BQ6XDVyLIcESMBTBMx+blLo8NRIs14SIAESIAESIAESIAGfJGD2gt0fhI4XL17Kgp/2yLhvNkj92sWkS4dqkihRPJ8cfzaaBEjAeQJmPzcpdDg/RryCBEiABEiABEiABEgggAmYvWD3B6Hjr/3nZNb87ZI/T3pp3aK8xI8XJ4BnELtOAoFHwOznJoWOwJtj7DEJkAAJkAAJkAAJkEA0CJi9YPcHoSMauHkpCZCAHxAw+7lJocMPJg27QAIkEDmBx0+eyfAxa2Xh0j2RZlw0u70UK5JFXr16JSdOhcrs+Tvkt63H1DXlyuSSNs0rSP686SRGjBgyZdpmmfjtpkjLGze8kdR+t4jK8+jRUxk0YrUsW71PenWtKa0+LKvK0dLtOw+lS6/F8sfOk6K1w5lxvX7jnnTru0R27v5Xpoz7UKpVeSPC5ejXn/vPyex522Xn3tMSJ3YsKf1mDvmwcWkpEZJVnjx97hQnW+3T+lGnVlH18w+zt8nXo5uo//7iq4Vy/OSVcJeVKZlTmn5QUipVyCtx48aW1b8ckJU//y39erwnQ0atUePxedvKzqBgXhIgARJwOwGzF+y+LnQ48w7UD17hgpmk3nshUve9EEmQIK76KbL3b/kyuWX8iEaSLGlCSzE795yWz7rMlZzZU8vEkU0kY4bgCPPj0uVbMmfhTtn6xwk5c+665M+bXurVDpGGdUtY6o1sUv204i/pPWiZVKv8hgwfWF+SJkkQLntkbW7SoKR81raS9B64XK0BbKVOn1W1vAvhAoS1yfwlu2Xnnn8lQ7pkUqZULmnRtIzkyZVWzp67bvN9qy/XmpMRI7ybu/ZebCkCLkdl3swhzZuWlTeLZZOYMf+3ntEyObIuefr0uWzZdlyWrPhT9h04r9Yl1ustax72+me9ntCue/nylezdd1bmLNih1j7JkiQQ9L9964qSIf3/5oKtMQLbalUKKLb6vPo2ae3B37DeyZY1lc0xxD2wYs1+Wb5mvxw8fCHSORbd+ej2B2AUKzD7uRlZM48cOSJJkiSRGK+wOnYi+frD2ImuMisJkIAPEHjy5Ll8N32LHDxyQbX25q0H8s/xy2ohlDd3OokdO6b6e9eO1aVA/gyyacs/Mmz0Grl05Xa43uHFPqRvHalVo7DMXbRLvZyR7j94IgcO/ad8jfPlSWcxx23WqJS8XTG/ynPiZKhPycGpAAAgAElEQVR06DZfzv13QyqUzS1jhzWU4GSJLOVHV+jYsfuUtGw/U5WHRVPv7jXDmQXjMf7z+oPSb+hKefDgic1+Va38hkydvtVhTraG3lroWLL8T7XoRJ0QOi5cumlhpI0Dyun+ZQ1p3by8rN1wKJzQUa1yfmncoKQPzDI2kQRIIJAImL1g9/W1tTPvwCKFMktQoniWdzXm1UeNS8tXnd9R7zVtQ5o9aypJny5ZuGmH//+q0zsWoeHFy5cyccommTpjq8qn/wChXXj67DXp0X+p2nxiY5s2TVI5fipUvbfwsaJ/z9oRhAt9pcg3cMQq9e7COmDGlFZKpNenyNpcuEAmafJBSek1cJkSOrT+66/Hx4DmTcoIRI4Zc/6QMZPWR7jd0PbRQxtKujRJZezXG+TuvUfy8tUrOX/+hlrP6HnpOTnCSBM6UEeWLCklNPSOEoT07+9YsV6vpbRktC6x7gv6fffuI1Uu1mejBjeQym/li9BPTVgwWk+gPejb4qV7ZfSk9RHWPhovCDVI1mOEj2THTlxR10Fww7ota+aUdtuDH+wJHVgbjRi7Vokc1gnrxCH96krKFEHqp+jOR29+Dpv93IyMBYUOb54pbBsJkECUCWgvbFtffqCi46sFFjl9utWS92sWEbwscc2gkaslU4bkEV5k+ArRuOVUJZrYe8nNmrddho9dq9qMhdC34z+SMiVzWPoQHaHj2bMXatGDOpByZE8t34xpKrlypLGUry0M7t17JAN7vy8VyuZRv23afFR6DFgqeXOlVQtA/ReLyDjZg6/1o1nDUvLg4RO18IPQcevWAyV06BcCEF92/3lGeg1YKk+fvZBpX7dQC5xNW47KV1++IwOGrxJYhmhWMVEecF5IAiRAAi4mYPaC3deFjqi8A229I/AxQtuQ6q0c7A0vNvhdei6S/QfPqywIgjqgV+1wVhoQQRAgtWG9EtK7a031jr4celt69Fsqu/88LVMnNpcqFSNuuLU6j/xzSdp+8aPAggEJVogd21eRWDH/t/E3arOja4A/952VL3ssVAIPBJiC+TMI1gCwWB06+md5p2pBtWnWLEr0Fq32eDnCSFsPaB9S4sWNLYf/uSSDR66Wf89cUyKA9mEHDBxZl5y/ECadeiyUq9fuquthYYpP60uW71UfZWpULSDDB9SXxEHxww2vLQsKe3Pl8D8XpWPX+ep6be3z9NlztV4a/81GNa7D+teTFMmDbM4rtG3g8FXy69Z/pHc3WOOWizDVjCw60DZYC2F8KpbPK/17vCeZMiZXc2zIyDWqbHxo+6RVBTVnojsfXfyoc2lxZj83I2s8hQ6XDi0LIwES8BYCkW3gtd+wucZLUXvB6s1uYdWhtzIwEjru3X+sTFqPnwiVcqVzybzFuyIshBxd5NhiqC1SYsaKIZkzJFdfDLA4+KBucUv2RUv3qIWDtbWH1rb1m47I7KkfS9lSuSzXREfowEIPohGCz8G65MqV2xGEDlT06PEzGTp6jcDyA0ILEq757JNK0nvQcsXJ+suYt8wjtoMESCBwCZi9YPdloSM670C9tYRmjWEkGuhnJVw82neaowTza9fvyfWwe+E+BOg35BAnOrarotxKsTnd/Ptx9XUdHzFgiWkvaSJO4/pvyoHDFyR58kQydmhDSZUyseUSozY7sgbQW150/ryqfNqmksUFVlsHwFJy8thmkid3WlW3I0KHESOUYy10aIFkNZcdawHJkXWJJhAlD04kX49uKtmzvXb5uHb9rrLuxKa/Zo1CSoTQJ3vCgvV64r13Citr3glTNsknLSsoMUGzOtG71WhrH3tjZG/9pLXJSOi4dfuBdOuzRLbtOCnTJ7eUt8q9/tCEpLkMFciXQX0UgqWv9uEqqvPRm5/KZj83I2NBocObZwrbRgIkEGUC9jbw+kWErS8f2mIGLim9utSUePFiqzYYCR2HjlyQ9p3mSrGiWaR54zJqA58mdRL1UkudKokqw5FFjr0Ob/ztqHzedZ760oAvIviyBEuIgb3eV1+m9As5vOjhl+pIiorQYa9cRxcmtN5wZGSYhwRIwNMEzF6w+7LQEZ13oF6M1ywrjEQDbW4g/sPoievkxwU7VewqfN3H13LrjxXaOxSuDB3aVZEaVQsq1xlH0p27j6T3wGXy96H/ZPyIxrJs1V/KktH6w4HW5orl8kiJ/3eVQPmITVWzeiGJEyeWYZwuPYuJo5qo64ySkdDhKCN7QofmkhQUFE/QpiyZUqgmGa1LkEdjt3HzUan1TmH5tHUlFUfFVrwPfT8dXU9UeSufxaXI2mXJ1rrI3rzS1n5YY8HNFmPlSHu0PBqj+PHjRLD61QShE/+GyuzvPlZuS9GZj0bzwdO/m/3cjKy/FDo8PRtYPwmQgFsI2NvA6xcEo4d8oIKf6ZO9F31kQge+Cs2at0NGjFsr+AKDwF2D/t+XV28OG1WhQ79IwYu8VInsarEEFxC4gsDMV98vW/7J9iC7W+hAgDCYBWORCNeVqRM/kkIFMrllzFkoCZAACbiSgNkLdl8VOqLzDsQ7ArGw+g1doVw1tECi9gJ7WruPXrx0Szr1XCiI0wW3UrgKIJaVtUsE3pEz5/wh02ZvU/EY8IEAQUU//qicCu6pDxxuPYc0EQfxueB+seHXI8p60npTbNTm4OBEFqHDug7NEvPx42eGYoj1tUZCh6OM7K1/bIkOjqxLtHYePXZZhoxarT4YIYE3ApTrg89a98lWnbbWE5kzpbDwWjCjbTiBCWVaCxu2hA641yCQPGKn2Av0bmTRoa0Ry5TKKRNGNBZYsGjJ1tovOvPRlc84d5Rl9nOTQoc7RpFlkgAJeDUBM4UOvcmi9oXH1teBqAod2gsWCyCYq8L0UzN71PxJvUnosD51RZsoWjBS62BmXj2R2DgSIIGAJWD2gt1XhY6ovAOtJxUCUyKuBiwY9KeeWQcjTZI4gXT7orqKf4Ckves1C8fbdx+peB0IYql9CNDqwkYZgSfnLtqpTjTBOxmCR4e2lZVoYevdBBFHc42ApWSnz6vKseNXlFUl4nmNH9lYBTfVb6rhbgIBRUvoD6xHYK2hnbxmHYwUwUpx3aPHT10udDjKyBmhw5F1iX6MEdB99dq/LaeR4De4rI4YWN/mCSZGp8po6wk9U2eEDlsPtRbNykrXDtVsnsDjaqED9UdlPvrCw9js5yaFDl+YFWwjCZCASwlE1XVF89N0xnVF87/MkzOtZdEDdb/157PCHXUXVaFD84/Vf6HS+qcdc5cwQdwI4ocjQN1h0aGPko42YAGLLzewRIEJLxMJkAAJ+AIBsxfsvip0ROUdqG30L1+5rawTEXTzw0alLJYVjriu6ONq2RL9bR3zrs07bLzX/HJAxk/eKM+ev4gQPFzLp4/zoFlo6oUdvQWAUZsdWQPYcuMxulcis+hwhpE9oUOLswF3XM11xZF1ifXxu9rm/tS/V+Xrqb8K3FlsBY5FPlunrthaT9iK76Lx0rsqay691qeuaCfqQWAb3LeuJEkcPiiqVpaR0BGZ6wrikUDgOnLsksV1xXpMHZ2PRnPBG343+7lJocMbRp1tIAESMJVAVIKR6hcLjgYjxYv0m6m/KfNIe0lbCDmyyLEuQ79IsVU+AqFp7iCaSIOz4HH0niYqwEcWQbK2/nHcJcFI7fXTaCFg6gRgZSRAAiQQTQJmL9h9UeiI7jsQp1Hg/WR9KpiRaIChPXX6qnTsvkBOn7lmc6S1DwGwhoQVpHoXdqxuCeLpSGwrTcSxPrJdq1D/vjVqsyNrAP3m3Fqo0U4wuX//icPBSB1lBFHC0WCk6DtcPZat3meTu35dsnz1Plmz7qAUL5pV2rZ6yxL7wpZ4oi/M0fWE3uLGOhipLUsj6zHSn8JnfaqMM+2JLBip9uFLC0aKU2eiOh+j+Ugz5XKzn5sUOkwZVlZCAiTgTQScPV42duxYsmbdAXXcqTPHy+q/9liboiIy+j/HL1tOQYmK7622SAm9ekfgH6xFQQdr7UuYFpkdx79h0ff40VMZPrC+lCrx+mhbrV8IAKb5P2tjZYsTFg7/Xbwpjx89k1w50xgGDdPKcnRh4k3zhG0hARIgAXsEzF6w+6LQEd13IMSHfkNWyLpNh0W/sTcSDTBmmlUBXEeyZEkpMWPEUEP5/PlLgQslLDVmTGkl+fOks2zM8WUfbiX4EIC2I3A4PgLYitmlF3GsXWjwYQRuMPr1glGbHRE60H5NXME7e1i/epI7VxoVcHzm3O3qiFxNwHHkeFlHGcGNxNHjZZ1Zl+zae0Y+6zJXWbfipLjcOdOo025QFwQuWzEtwMCZ9YSt42WfP/8fr8iOl9UfC2vN1Rmhw97xsvqja7XjZZ8+eR6l+egrT2qzn5sUOnxlZrCdJEACLiNg5JKxacs/Mmz0GkE0bH2Cvy6sOWrVKBwuOJm9YKQ7dp9Sgc8KF8wUQUTQVPy0aZKqo+7wlcOefy7agJcgAovqk2alYesFrPURCwUcc5cyRZD8vP6gCpJm/fXJXr9scbIVIdyRgXFmYeJIecxDAiRAAp4kYPaC3ReFjqi+AxfNbm85Vnz7rlPSodt8m6KBtcCA+YCgpR3aVpHxkzeo00+sLR/01pk4vhxHeB44dEEFxYabDISRjBmSy4lToSpOBzb5COKdIX1wuOmmuRzs+etMhCCV+i/42lHvzggd1h9GUHGlCnmleZMy8uLFS5kx5w/11d86oe2jhzaUN3WnuthzXdG7dTjCaO36Q9K192LFB8JRaOgdxQtJH2PLmXVJ4sTxZdzXG2T2/B2qHPQbgUzxEQip71e1VJ+tg8E6s56AILV46V4ZPWl9hLWPNS9bYwQxAqILAqfbC+Zuz5UGfdDixqCvI8auVXFIrNPbFfPLkH511ToNCetDZ+ejJ5+FztRt9nMzsrbx1BVnRo55SYAEfIaAkdAB9R2LHLx8EZQMqVyZXNKmeQXJnzddhJeuLaFDH3VcC1KGM+G1pD9WDQuhqpXz2424jmv0Cz/8v/56a1ca/K5FUoclx7fjP5IyJXOo4FZ7952VOQt2yM69pyVO7FjqONoPG5eWEiFZI/TLFifUO3jkaoFJ56ghH1iOkjMafGcWJkZl8XcSIAES8DQBsxfsviZ0ROcdqH/fIT4B3jkr1uxXgv8nrSrI1OlbZeK3m2xOgfJlckvr5uWle98lkihhvHBuHNoF2vGd2ocAfGjAiSwr1+yXVWsPqA08RJSK5fNIy2blJF3apBHq0sooWTx7uKPikVF/0owWZwIWF2izraPrcY3eosNWx/TXgS1Oo1nw0x7ZuedfJT6UKZVL4CqDU0v0yZ7QoZ0W4yijXXtPK6FDS4ivhfVD04allLCCI2Gjsi5BX3b/eUYgkGBdggRxqVG9NwXWFraCwDq7nrBe+yRLkkAwT7A20wtYtoQOjOWSFX9J38HLVXuG9a8nKZK/FiS0FFlwVP1JQHA3xjyG2HHw8AXJnze91KsdIg3rlogQ5NTZ+ejp56Gj9Zv93IysXRQ6HB015iMBEiABEiABEiABEggYAmYv2H1N6AiYicCOkgAJOEzA7OcmhQ6Hh4YZSYAESIAESIAESIAESEDE7AU7hQ7OOhIgAV8nYPZzk0KHr88Ytp8ESIAESIAESIAESMBUAmYv2Cl0mDq8rIwESMANBMx+blLocMMgskgSIAESIAESIAESIAH/JWD2gp1Ch//OJfaMBAKFgNnPTQodgTKz2E8SIAESIAESIAESIAGXEDB7wU6hwyXDxkJIgAQ8SMDs5yaFDg8ONqsmARIgARIgARIgARLwPQJmL9gpdPjeHGGLSYAEwhMw+7lJoYMzkARIgARIgARIgARIgAScIGD2gp1ChxODw6wkQAJeScDs5yaFDq+cBmwUCZAACZAACZAACZCAtxIwe8FOocO5mbDvwHlp3HKqlC+TW8aPaCTJkiaUKdM2y8RvN0mVivlkWP96kiJ5kKVQ7bdOn1WVz9tWVn9/9eqV/Ln/nMyet1127j0tcWLHktJv5pAPG5eWEiFZJUaMGCqfrWvxd+s23Lr1QL74aqEcP3lFShbPrtqVOlWScB37besxad9pjvpbkwYlpXf3mvL48TPp0mux/LHzZLi8hQtmknrvhUjd90IkQYK46rfVvxyQrr0XW66NHy9OBHDWefTlZ82cUiaPbSZ5cqcNd92Rfy5J2y9+lOs37oVjal3WlSu3LX20NWLjhjeSCmVzW/rTtWN1+aRVBYkVM6bKfvvOQ8tvi2a3V3/DOEaWNE7o66NHT2XFmv2yfM1+OXj4guTPm17q1Q6RhnVLWBhpZV26fEvmLNwpW/84IWfOXY80r3Ozj7ntETD7uRnZSBw5ckSSJEkiMV7hTnci8WHsBCxmJQESIAESIAESIAES8CkCZi/YubZ2bnpEJnSgpKH960nDusXtihXY+vy8/qD0G7pSHjx4Eq7yRIniyZC+daRWjcLq+qgIHShw9tSPpWypXJaynz17IWMmrZdZ87arv9kSOooUyixBieLJ/QdP5MCh/1S+Zo1KSY9O76iNfHSFDpSHvjVuUDJcn9Gm4WPXqr/pxSN7QseFSzclX550Yi20oK3Fi2a1iBk5sqeWSSObWIQVa6EjXtzYMu6bDare589fKpEIeSBgJA9OpP5euEAm+bRNJXn0+KmMGLtWiRzW6e2K+WVIv7qSMsVrcev02WvSo/9SJYZkSJdM0qZJKsdPhaqxrv1uEenfs7YkTZLAuUnH3IYEzH5uRtYgCh2Gw8UMJEACJEACJEACJEACgUbA7AU7hQ7nZpiR0JE3dzr5enQTyZY1lSrYWqw4e+66sky4d++RDOz9vlQom0fl27T5qPQYsFTy5korsE7IkD44ykJHqw/LSfcva0icOLFU2Zeu3JYuPRfJ/oPn1f/bEjpg5VCsSBb1+8l/r0rvQcvUZn3qxObKUsUVQkeNqgVk+ID6kjgovqrn3v3Hqp71m46o/3dE6EA+PV/96OnFDH0/IYpYCx1aX5FP/xvYQ5DQEoQpWGcMHf2zVCyfV/r3eE8yZUwul0Nvy5CRa+TXrf+I3npk6oytSkBpWK+E9O5aUyBeIW+Pfktl95+nLTydm3XMbUTA7OdmZO2h0GE0WvydBEiABEiABEiABEgg4AiYvWCn0OHcFDMSOlAarAC+/PRtiRUrZgSxYtHSPcqaQ+8WYb3p1ywynLXogKtI0qQJlLvG+JGNlUUBkua2UqZUTtm5+19DoQOb+2++/02+mfqbaC430RE6Lly8qdp1+cptmfZ1CymQP4Nql+a2kj5dMrlz55ESEDR3IHsWHc4IHRAZ4C5TrnSuKAsdt24/kG59lsi2HSdl+uSW8la518IU0s49p+WzLnOlQL4Mqt3ByRJZLGc6tq8iHdtVUZY54Ln59+PK2gNCGFxsmFxLwOznpluEDtciYWkkQAIkQAIkQAIkQAIkELgEKHQ4N/aRCR2wBLh2/Z5cuBgm40Y0VhYSerGibau3LBthWAG0b10x0sqdFTpSpUwsJYpllfHfbLRYDmhuK9t2npQPG5WSQSNWmy50IP5G/feLqTgmEIBgcYIEt5VJ3/2qxJRlq/YJ2u8qoaN18/KyaNleKVsyp3ItiRkzRrgYHY5adJw4GSodus2X+PHjRLAk0SxlTvwbKrO/+1jg/rPxt6Pyedd5SmTq0K6K1KhaULkEGaXNvx+TvkNWSJsWFaRFszKW2CJG1/H31wQodHAmkAAJkAAJkAAJkAAJkAAJWAhQ6HBuMkQmdGDDDqsEBO1EIE/EY/hx/g61wcdvrVuUl+Fj1srCpXuUe4reRcJWK6IidLT7+C0ZMHyVVCiTW7mvXLtxT7mtZMuSUmrWKCQffzYrUqED1gcnT12VPkOWK9eVKeM+lGpV3oiW6wqEjj7da8l3M7ZIksTxlfsKEtxW7t57LJ+2riTDxvzskNCBWBrWSbM60bugwCpmw69HFWvETalWOb907b1EBV7Vu+mgrMhcV7TxhjXMhBGNLfE7rK/Tynz85JnMnPOHTJu9TcXlgFVJtcpvyMcflZM8udJaYrdY90GLVYJYI7261JR48WI7NzEDPDeFjgCfAOw+CZAACZAACZAACZAACegJUOhwbj4YCR0tmpWVwSNXy8bNR2Vov7py/r8w04QO9GTEwPoyb9EuOXv+hnJfOX7iijptBeICNs/6k1PsnbqiEXFlMNIFM9rKjj3/ypLlfyr3FSSctoJYFrC6aNp6mkMxOmwFI61UIa80b1ImgntKUMJ48mXPhcqiAkILXHHcLXSgXy9fvpJjJ67I3EU7ldsQhBQIHh3aVlbWLHBpsk441eXEqVDJmiWlOsmHyTkCFDqc48XcJEACJEACJEACJEACJODXBCh0ODe8RkIHjpD9c99Z+bLHQsmRLbWkTpVYWUPA6kDvutK7W02LC4e9Fjhr0YFyEKjzr7/PK2uJr8c0lb8P/ie79p5Wfz/8zyW7Qod26grKSBA/jrxTraDgRBFXHS8Li4cnT56rmBZwX0GC28qMKa3Uf1sf2RvdGB2or0ihTPLDrG0qOCiOy/3v0k35a/85pyw6InNduXb9rnKHOXLsksV1xXoscYrNml8OyPjJG+XZ8xfy7fiPpEzJHM5NOuY2JEChwxARM5AACZAACZAACZAACZBA4BCg0OHcWDsidDx9+lxtbGfM+cNSuOZeoQUjbdG0jHzV6R2JG/e1i8Kdu49U0Mutfxy3HA9rT+jYsfuUtGw/U7RTTG7cuKdOctGEDvwb/58oYVy5ffeRvBmSTXp3r6niR9iz6LB257CmEp1gpJoVRfasKVUfb956oIrHMa5jhzWUM+duuEXoQByOS5dvqT5j3LTkjOtKZMFIUWbrz2dZgpG+eiUqBosay47VLUfb6o/3dSQ2i3MzkrlBgEIH5wEJkAAJkAAJkAAJkAAJkICFAIUO5yaDI0IHStSOkdViSmhCx6nTV6Vj9wXy+NFTGT6wvpQq8frr/pp1B1RsjZzZU8vEkU0kY4ZgS2DL4iFZlesJ4mwg7sPwcWuVCwisR3C6x3//hYUTOtKlS2aJBYKytXgg1mKF3nXFDKEjpHBm+W76FpkwZZPqc+fPq6oTavYf/M9tQgfq0fodFaHD3vGyV6/dlYHDV4U7Xvbpk+cq2Ouy1fvUkbOIywEhCzFKeg9arkSs0UM+UPFbrBNdV5y7D61zU+iIHj9eTQIkQAIkQAIkQAIkQAJ+RYBCh3PD6ajQod8gowZN6MDff15/UB0xC9FCnxDHYUjfOlKrRmEVtBKb31ET18n8xbtVNgSzvHj5lrqucMFMyhoia+aUFlEFeeCiki1rKsvmHvk04cQVQgdOE8mSJaXEjBHD0vTCBTIpwWLDb0cMLUY0K4iECeLK1IkfSaECmZS1haOuK7ZidKAhiCdSvGhWmyerwMKi35AVsm7TYdVmZyw6kB8xNkaMXSvL1+yPMFng3oNTXVKmCFK/oS+9By6TM+euq5NXMmZIrmJvoAxYmEB0ypA+OEI5DEbq3H1IoSN6vHg1CZAACZAACZAACZAACfg1AQodzg2vo0IHSg27eV/6DF6uAlJqQgf+jmCVe/edlTkLdsjOvaclTuxYUvrNHPJh49JSIiRruJM5IHasWLNfbbJxCkr2rKmkYvk80rJZOUmXNqlqvGY9ohc6Ll66JZ16LpQiBTNZXGRcIXTYotWkQUmHXWMgOkAIQIJFS9IkCZwSOmyduoKyICBUKJvb7hGyWtwUWFc4K3SgfOtxyJ83vdSrHSIN65awxDHR2FwOvS0r1+yXVWsPKMHD1phZc+Txss7dhxQ6oseLV5MACZAACZAACZAACZCAXxOg0OHXw8vOkUBAEKDrSkAMMztJAiRAAiRAAiRAAiRAAo4RoNDhGCfmIgES8F4CFDq8d2zYMhIgARIgARIgARIgARIwnQCFDtORs0ISIAEXE6DQ4WKgLI4ESIAESIAESIAESIAEfJkAhQ5fHj22nQRIAAQCXug4ee+lW2dC7sQx3Vq+Nxd+4fZLOXDphduaGCeWSI28cdxWvlcVvGaNe5tTtqxI8uTurcPk0u+fuOrWGoPypHFr+SzcOwkcv7rLrQ3Lm6a0W8v3psL3/3fPrc0JyZzYreWz8PAEuJ7yrxlBocO/xpO9IYFAJBDwQse+my9l7RX3bMZxwFK/NwJkI27j7oHQkXmI+xay6z5JaLrQ8fz5c3n06JEEBQWFi37t9ofHsmUiDRq4r5qwML8TOs5O+V2eXHfP/EteKrukrpHffePhwpJ///13+e6772TSpEmSJo1/ijO4J5ESJEjgQnK2i1r/z1TZceYnt9STKiizfFFxllNlv3z5Uu7duyeJEyeWmDGdF9Z37NghX331lQwbNkwePnyonm0VKlRwqg1RzTz457NyIvRhVC+P9LryuZJJ+7cyuKVsbyv0/v37EjduXPWPlo4dOya9evWSESNGSL58+Uxp8k8XXsixu+75eJQzKKY0zRLLlH6wktcEKHRwJpAACfg6AQodHhA65s+fLx9++KFl7hQsWFB69+4tDRo0kNixY/v6nLK03xNCx4kTJ6RRo0Zy8OBB1Y7kyZNL+/btpWvXruq/o5KwiRowYIC0bt1a7ty5I1OmTJHJkyerjYWtFBYWJn369FEbhxQpUkSlyojXeFDo2Ldvn3Tv3l1mzZoVzgRsyJAh0r9/f9VWsKhRo4YMHjxY8ubNq/524MABGT58uKxfv17y58+vNlN16tRRmzEw/eGHH+Tbb7+V69evS8OGDRXjtGnTuoYXjlXzgNCBfk2bNk0mTJggN2/eVPf0oEGDJFOmTFHqV3Tn0u3bt2X06NHy0UcfObTZwf2zZMkStUF69uyZS/sCNp07d1ZtKQsLIhcm9DFJkiTqXnd38oTQob/X8uTJI5999pl88sknStg5ffq09O3bV8aMGSMZM2Z0uvtff/21undXrVole/fuVfdkqlSpnCgQIgMAACAASURBVC4nKhd4Qugw49kDFu6c73rWjx8/Vvdr9erV1TgivXjxQqZPn67uebNEK9TrCaHD+j2kf+ZirXXmzBnp16+faGsDvLPq1asXbrpC7HvnnXdk3bp1Ln82ReW+8JZrKHR4y0iwHSRAAlElQKHDQ0KH9vLFwF25ckUtVPHyrVmzZlTH0uuu85TQMXDgQCVEQGTAYnPOnDlqsYMFkf6Ll6PA9EIHNhlGKbqbU5vle0joePXqldq0z5s3zzJHtfaBZ/bs2aVZs2aCr8o///yzLF26VLG/evWqEkd69uwpb775ply8eFE6deokn3/+uVSsWFHGjx8vDx48kC5dukjChAllwYIFAssDbLoSJUpkhNih380WOrC5sO7X2rVr5aeffpJvvvlGgoODHWq3PpNb5lIkrZgxY4ZkzpxZKleu7PK+mLXxcxqykxd4SujQ7rW7d++qsYEQBRHNl8Vxs4UOW/eoO549ZgodTk5ft2b3lNCh3RuwuMS7CtYseD/h2WstdBQtWlS9o7T3DOYEBPqpU6fK8uXLKXToZgiFDrfeLiycBEjABAIUOrxA6MA4a18esMGYPXu22jhmzZpVbS537dqlNoxHjx4NZ52AjcPEiRNl7NixkiFDBvWyfv/992Xo0KFqo4KvpvrNRcqUKVVebCyfPn0q48aNk40bN6qv8pcuXZKOHTuqzamrNpreIHSALb7kQPxA37Fph/XB1q1b1cIG1gU9evSQX3/9Vb788kvFGf2HlQH+GwulVq1aKZPubt26qVsSm0FsMOLHj6++glrzwxc2f7HouHXrlvoaVrVqVfnjjz+UlUq8ePEUB73Qgf/HprxDhw6K9S+//KLmWbt27SyPsQ0bNqgFKKw68AUS8y99+vTqd2zeUDa+UufMmdMljz6zhQ4sCmGxgH5ly5ZN9eHJkyeyYsUKKVOmjBIQTp06ZXO+wfUAX+RhLfTGG28ohpUqVVJWIdpcgkWSvWcBRKORI0cq95QPPvhAzWsISsWLF1dlYWGP623NV+1+RxmwwMEY4vngyr4UKlRIWbFhDiBhMwKBbPfu3crSB882PLcw/ti479+/X/0dFgaNGzdWcwMsYG0AqwX0FRsW8IL4iOcnEsrEvQtmixYtkiJFiiiLllKlSrlkTqEQTwsdaAPuSwiHYAQrKG2OJE2aVD2f4K6AhPsMlmhgamvuQYC0xxRzd+bMmTJq1ChlLeMOq0OzhQ7co3iu23v25MiRw+49hucdnlcrV66UnTt3KuZffPGF5Z2gZ45nXIsWLcLNd7zP9e92vKM3b96snq/6NQD+39b8h5UN7gHczyhHP7fRNu2db+9ZcvLkSbtj7aqbw9NCB/qBZwnmLZ4nEC70QgeesZjXmAN4ziJhToBpnDhx1Ji52trMVWw9UQ6FDk9QZ50kQAKuJEChwwuEDizMsWCtW7euskLAogUbE2z4sEmH2wUW9rly5ZIff/xRfR2HmT8WOxAoIE5gAYSXN/7By92e0IGFGQQRfGX/559/1GIAL38skPF1HS4E2NS6InmD0IFFDZgdP35cMYOoERISohY02FxDvMDmqkSJEuorKUSQtm3bqsUn3C2wOcPCCYt8LI6RNKEDCyhb/FC+vwgdMOnFRh3csGnCXNOsWuxZdEBQghDUtGlTm4tGbG4xJuDtzpgKZgsdcPHB3NDEROt7CPe5rfn26aefqs04Eu7BCxcuKNZYfOs3sTdu3Ij0WYD5iHkKdxVYzkDw0AsdoaGhkd7vhw4dUlY5GGu4Hbm6L/jqqnddwcYb7YWIkS5dOvXsevfdd9X9iU08fitQoIAsXLhQbdLhkoZ7E8+vt956S4klcNvAfQ1RAwmiCOYeNqy4d7ds2aKuhyBsz9XM2WedNwgdaDPuv9y5c8vbb79ted6AEzZ5eFZBuMJY4pkPkc3W3MOzHkKIPaa4/yF0QLzF+OCerlKlirPI7OY3W+gwevZE9r6FCAjrS/CACyOehfgQAWHBFnO8P/TzHSz173b8vy2ho02bNjbnP94peN/gPsLcxjsNbcJYw00F73wIevaeJRC77I11rFiuiX3haaED73t8wEDCvIe1jl7owDMNrsJ4FmNsYsSIodZLuG/w3KxVqxaFDt3dSqHDZY86FkQCJOAhAhQ6PCR06GN0YOOIl27Lli3lr7/+Crf4gdsFvpTjd6TLly+rBScW9/h6i0URvpYiaQHJsBCzJ3Rom3RsMPHVFv8g+BwS6sKCB19FXZE8JXRYx+jQ4j9AzNFibYA5Fr1wtcBiES4tWDhiwQjLDlhpYAOGL3h61xW90AFWtvjBT9ofhA6Y9GLTiM1y7dq1lTUMvuxisaxttLQYHfj/Jk2aqE0ALIcii8WABf7cuXNVef4kdOj7BR5g8P333ytW27dvV/eWvfmGTT02MdoDWbsO/ubaXIIbjK1nAQQRsMTzo1ixYpaxwYZIL3Rgox/Z/Y7nCfLji6Y7+tK8efNw82Lx4sXqeaY927Zt26bclyBiIK4LNoVgpgUAhqiLDSXmJOaNvo3YrCBhI47nIH7Hxk6z7sDXdlfFy/EmoQNjrH/enDt3Tj230F8I41pwUnvPOsRLgTWMNVOUAbEX97o2pzZt2qSEI21cXPGOMFvoMHr22Hvf4kMD3p223quw7LPF3NpVy1rYsCd02Jv/KA/ClfZegluhNtcx3mgbhC+IpbaeJbDw0r//jVhEZXw9JXTo30OwasWHIlh+WcfogAshPmzAEgzvKrz3wRQfPsDGHfGDosLRW66h0OEtI8F2kAAJRJUAhQ4PCR36GB36wbNe/NhzD8AXT3ylxCbHOm6E3ozV2nVFv9DRB2XDlywkzaQ8qhNKf52nhA59jA59e6xjbVgHhUVeBHTDoh9s9XE+NIFEL3Tgv7WAmnp+/iJ0YBOqWRPhQQE3AmzAta/j+rmJTSrcfPA1EV/JcF2gWXTAIgJCGTZFcNtB0t9/2ITqBU578w1/1xboCDqpCR1wMdB80ZFHcxWy9SzQxkYvdKBNtuYrhE24QsCyC1+pEUvEHX2BRYFeANMHEdTuU7g6lSxZUlmtaSb92m+4x+xt1DShA33RB8HF13bc0+Dpj0KHtUUHxk6LdYMxhKUgxAqISvbm3rJlyyIIHWCP8dK/X9yxMTZb6DCy6IjMHQ9Bem0JHaVLl7bJHDFUrC069BYc9oQO3OO21geaC6b2XtK/27R3PkRm6/ef9iyB4O+vQoc+VhQYQ1CGpQvcjPQWHWADQRdCB4K0wmIOJ1Lh/Y45T6HDFSs/lkECJEACJGCLwJEjR9QH4xiv8KnCpOSJ42X1Xxmsu2m9+MEXJmyWtFgHmkUHXtj4OoH4EbYsOvBVCC/yyISO3377TZlt4usPFsjWi7zoDoG3Cx3YnOu/HGv91VyJjCw64Kdti5+/CB2rV69WMV/0CS4Ga9asUV959fMFZvJY1GMzhXkHCwNbMTpwkyPoruYKpI/RgfJgoeRIwFdH5qbZriswa4fAg3mjxejQ33+wkHFkvqFv9iw67D0LHLHogABg736HiIVNIOL0QKhyR1+sLTqsn23amOIZCOuVqFh0IDYCxgCWMNiUwiTdnvDpyByylccbLDrsxejQiznIg6/VH3/8sbLksTX37IlHmMMQfPUWg/5g0WEvRof27NmzZ4/N921kFh36mA565oULFzYUOsAUm2zcc/o4XbbmP9wyMJ5arBB7Fh3aUcHas1V7lvizRYctARj3PSxkrYUOCEWw3gRjWHnC8gknrrjrRKioPmd4HQmQAAmQgH8RoNAhosyx9V99HI3RAZ9h+PXD7QKLNS2YJl7oWKzi6wa+9ui/6GAji80NFlqIV4EFEvy9fd11xVGLDmzmEMsApr4IFolYHPinfv36ajGp+fnbi9GBRaotfv4gdGBRjfkAwUw7ik87gQWPHSwKNX9xbb4gsC2O58Om4L///lPWAbBGgFUB4k7YOnUFeRDc1B0nH5gtdIAPTo3BfMFGEfcbNtrgiDmZJk0au/MNcT2Q3BmjA88WW/MVljewxMG9r7kpuKMvuJ8gQsC1DGIYOGF+wOwe4haC3ULIwQZRH6MDX2WxYcE8gzgSmesKfOzxDIR/PoI1IuYInnlwefEXiw7rU1fw7NesfsBKi9sElx/whtABiyxbzzqwxrHR9pj6W4wO/akrtp49sCSyFxMLLo62LDrwjrXFHPNPP9+t3+2wuMFzAhYGCAgMEQNCsnWMDm3+wz0D94oWowMbeDxX8LxFzCNHYnQEgkUHAosjfhksNXD/2xI64NKF2EgQAGHdkSxZMgod/rWfYG9IgARIwOsIUOiwIXRgw+HsqSvXrl1TCywIGQjOhzLgv28tdOhPasAXjbx586qTRCCYuCJ5u0UH+oiv3AjEh4CbCAYLv1184XHk1BWcjKOddKHnh4CJvh6j4+zZs6oPEMiw+NYSNqfghcUhFpL6L2n4monFIzbrCHarZwt3BGz48cUdi0xsaKdNm6YsP+BeoMVRgSmxq5LZQgfaDYEIVhPYkBw+fFgFboT1Ck5QwVdbe/PNlaeuIJ4KThDAfIaAoAl/uLdtzVc8G7DZwnjrA3a6ui/oP6yBUB/ccDDmiPmA9oGLdroKTpewd+qKI64rEHMgdOA5CNcfCL+4r111mo+nLDq0OAQIpoh+Ia4AYpHojyDGGEM0g3iBpD91xdbcwzPMHlPcp/526gqYRPbsiex9a88lFIKGPeb6+Y6YEfqPGBCiIIxC7MAJIBDIIcS489QVfxU6tHsDzy9wxDMX42Ido0P/EQQsYOGDDz3aKVN0XXHV25flkAAJkAAJWBMIGKEjUIbeE0KH37JdtkykQQP3dS8sTCR5cveV74GSPSF0eKCbqkqITNg4QcyE9QxEC/0RipG1Cy5ssMCBGxyTMQFPCB3GrfLNHGbH6PBNSr7Tak8EI/UdOmwpCZAACZBAIBPwmNDhTujFksd0Z/FeXTaEjnXHnrutjZmDY0iNvHHcVr5XFQyhA2KEuxJEFD8TOm7vO+8uWqrcZMWyuLV8ZwqHiwxciWCZhGMtIXIgvgqsKJhcS+DP8z+7tkCr0kpkqeXW8r2p8M3Hb7q1OZXz+pd461ZYLigcMc/cmQJ5PeVOriybBEiABEjA/QQ8InS4v1usgQRIgARIgARIgARIgARIgARIgARIIBAJUOgIxFFnn0mABEiABEiABEiABEiABEiABEjATwl4ROh4+v1ReTJ4n9uQJr7U3G1l2ysYAeYQ3BCBuRBQzl66f/++xI0bV/1jVrKuE8HfFi5cKDiqFQEDEX3e3enFweXybGlHt1UTr+dBiZEopcvLRxA9JAQg9Na0uOdatzUtX6UcUqh6XreV788F7954SRZOOuq2Lo5cUlkSJIrttvKtC/bGe8Eb22RvQF48eiDHRnV323hlqNNcgouUclv5jhTs6fG4evWqOgEIAZpxepU7U7ath+XpS/e4jbTMmFKG5c7gzuar+EIYr6CgILrbuZU0CycBEiABEvAUAY8JHY/bb3NPn2PGkCQv2tste9++feoITkTIx/F/thKOl9VHSnekoadPn5a+ffvKmDFjBJHebaXHjx+riPzVq1dXUcrtJX3UckfqjiyPrTpxYgAiz+MUARy/aUaC0PF0Rn23VRV/xHWbQgdOPcARhevXr1dxFPSnkETGH7/haE0cAZokSRJp3z78nMICEZHjW7durU7ZcCRF5RpHyl3QdbU8efDUkaxO5ylWt0AEoQMnIWgR9/UFtmvXTp3o4m2iEE4EwbjjKFWcivLNN99Ihgzu3USAC4SO7/q6T9CduuXdCEIHnh3oH4TMbNmyWYYH4iZOmti+fbs6FcHRY1/1z0KUa+teMJpUOF0B8UsyZcqkjpN0NlkfEaq/3t796UgduB/RHrNOfYDQcah3G0eaFqU8WVt8GUHowPjhaOGDBw+qMpMnT66eZTghDP/t6hSd8dCfZOPo/NS3H6enzJs3Tx2djT67O1YOhI5zj564GqEqr3eOdDaFDutTtXAkdIMGDSR2bOcFz71796qTvCZPnhzu5Cd9h6I7Jm6Bw0JJgARIgARIwEECASV0YLGPjRgWQxAl6tWrZxNTVIQOB3k7lM2VQodDFZqQyRNCB4JFQtTCJgtHr168eFGwMPz888/VEaT2EvgjQeiwl6IiWkTlGkeGxmyhQ2sTFsEdOnRQR5U6KvY40h9X5oHQh03du+++q/7BGOA40MisrlxVv6eEjg8//FCmT5+uRDgtXblyRT7++GP1v3j+ObqRdMWzEMcmY3MdHBysjkfGv51JkQkdzpRjnTdQhA798Z7o85w5c+TMmTMCwdJMy0KjsfK1TbXZQgdOacL7q0ePHup9FhoaqtYxTZs2jfR9ZsQ9st99bUyi01deSwIkQAIk4H8EAkrowHGQ/fr1k6pVq6qvu/jCia8/SPjq+8UXX8jdu3elSZMmyg0FC8H9+/erjUGcOHFk9uzZ8sEHH6hF+9ixY2XdunXyySefyODBgwUbKhwviTKPHz8uy5cvl4QJE8qkSZOkdu3aMm7cOGU9gTIrV64sZcqUkVWrVqkv45cuXZKOHTuqTfn48eMtX8vxhRwmuPjigrLwZRTlbNy4McJ1cD9BW/HlGl9qGjdurNqSKlUqS51ly5ZVbcN597/++qv6EjRo0CD1pRWbCXttdsW094TQAVEL3MBRSxs2bJBjx44p8+YbN26oMVu0aJEUKVJEWW+UKlVKffHWhA79f1+/fl2JJj/99JM6FvThw4fSrVs3yZ07t82xxJjYu8aVwoA3CR1PnjyRmTNnKpcofP3HXMM8g8UT7hn8DfcR5j/meq5cucTeNfhKac0PG3aMHRLKgctY1qxZpUuXLsqaSrPWwD1ZrVo19ffvv//essFH3s2bN6vnwIMHDyJc48pTUzwldOD+x9dtvVva6tWrlVUTzNVHjBihhA7N0uXo0aPq9Bg8y8Dc3rMQzwftvohszKyfF7gOIiOec/Xr11ebNCQ8C3F/4jn6999/q+coxgdWb3gO437E8xYudtbP4JEjR6pnm/7+1I+nfn6hnvTp08vKlStVWbjnIWK2aNFC8DzQxB/8zR4TlzwDPWTRoRc60A+IV9rfIPpp943GDBaJuD/ghrl161aZOHGizJ07V9KmTatEEryHMFaacIt7GpYB5cuX/z/2zgU8quL8w79cgAQIBEQNVwkiEhA1XJTEK1G0hKI1qFVSvAW1CmL/gFghUAViKwZsEdQqkdYaqGJQq8QLsqitCYoSVC6KaLhEEgQlXBOSkP0/30kWNstu9sw5Z082yW+fp09bMvOdOe/M2d1595uZOv0hz66391dfY+fAgQMnPkNlfPr6rJJ+lv6Xz1YZHyItr7zySu2HC/cMHVdfShaE++ehFX0pMewWHXIfIjDluZDnxvW9RWTEyJEjffKSH3jkO4N8v3D/riHPpCtzVd5HPd8/5b3wl19+qdMnVrFjHBIgARIgARKwg0CzEh0ymZejIOUXEfkyLR/8MuF0/VIik/64uDgsXboU+fn52kRM5IFMDOSLnHzRkzJfffUVnnvuOe2XSfli9etf/xoiEdxFh/yKLF9KZCInX0zki7b8wuoSHS7pITJC4sgXS/myJlLEPaNDvpSKgJEvljJB2Lx5szYpkS8l7du31yZyN998M8477zzt1x6ZWMr/ltR1yWgQkSJLN0SuSFvkF3gRNbJ+eeXKlXj77be1LBf5EuWrzVYMRLtFh+uXfPm1S/rG8yUTQenLs88+G/IL+Jo1azRm8qVeJoWeokO+UEsfyfIXKS+TQ2Et4kkmj976RBj7qtNURYeMXXnOZJItfSBiSPpAJk+ucTx48GCNtTCXJVQyAfVWR54H6SOpK5NSGc/jxo3TmLsmyiIBe/furX1h3717tyb6tm7dqk3kRHq4nlHX8gT37ABfdeRZteLVUKJDuIvMk/cFec+QiaW8NyUkJCA3N1d7P5IJjIxfef/p3Lmz1k+S8TJgwADtfcTbe6G76PDVz56ZUjIZlj654447tEmWvHdKW2RZgbwXyiRM3odlUixlhg0bppWXjANpk4wPmZC5vzfJ+7Jrki2SUl4ykZV/lwwFeX+TfpZJudSXCbEIMhmTMpmW68kv4b169aozMZbx5Y2JTCKteDXU0hV30SFj4Z///Kc2KZa+l+fHk5lwkmV5AwcO1J47mQTL55xIYHnvkz6U/5bPUXmuRIbIZ51k68jnieu9Uz435VmSsvJ5KmWkL6SMt+ddZLPrM1Ten319Vkmfy/iQviotLdUy9OT92V10SN/KOJZ+FhEtY/6MM86oI73N9qndokN+qJEfPuT985577tGksev1008/+eS1fft27fNJ5JB8h5HnRFhceumlJ0SHfOfx9v4pPwS5+kRvFphZrqxPAiRAAiRAAlYRaDaiwzWxlS8JIhNkci9fFEQ+fPzxx9qvnfLFOywsTPvFy/VLh4gO1y/AAt1zWYnrF0XZc8NddPiq4xIdMnmTL4/ypXvIkCF11th6ig73/ULk1zT5j2wgJi/5Mi9tlqwM93tw32hMvuSI6BAGMqmULzzy5VayViQjQb4oyv+u7z7NDji7RYe/tHSZYMkmrbKfhCtzQPpPvpwLR0/RIdkBMgGTyYF8eXdfhiJ7IXjrk/rqNEXR4cpwkWdq0KBBGsNVq1ZpQkMmOzL2ZWIlX5hlYiviQyYrMkHyVkcmKvJ8iOST/XTc+1Riu49X9w13pR0imGQy0KNHjzqTWXfR4auOVX3TUKJD7kuyHWSCI+8xIkeFsWQhSVaN9IFkdMnExrVnhrwHfvTRR5oA9fVe6BIdss+JvG946zPXe6jr/UKEoEhZmeDKpFQmnjLpFLniei8UEen5vLo/X5J55d7X8v4s72kiMUTcyEskjcgQmaDLWHEfA6+++qr2/ud5HZnIu2cAvPLKK16ZyFiy4tVQosNzjw4RYMJJJrHemN12223a55xr/yHPJXeeS9bclze4v3fKZ6yIJcnAci1Xqu89Qp53EfPyHivjxttnlYhO+cwTKeZ6j5FxJGLDXXRcfPHFdTbadI1vq/pSxoPdokOuKTzl+4BII/lBQ2RgfHy8lqHq67NdfsSQPnRlNrq+Q4h4dH23kO8Grk3S3Z+dTp06UXRY8fAzBgmQAAmQQIMQaDaiQ77Uy5c6meTLF2FJ75aUdtcv+PILketLkB2iQ9KE5ZcxmQDIpEPWz8ukTpY71Cc65AvLCy+8gGeeeUYTMvKStG55ud+D+2hyTShk4uNepr6Jo9X7hNgtOvxldAgf941KRfTIJrFy395Ehwgyz7Xurs1IZTLtrU/qq2PVZFruI1iWrnjbs0PEgqS9yy+R8uy5RIdr8iRLGeQZdN/no746rompp+jYtWuXNnHOycnRshUuuOACyMS1PtHhq45VfdNQokOecZkQyvuZMHHJAPkF1zWG5f3Dc0NZmQjJBFEyKLy9F7pEh0hdz71ZXH3muRmtvMfKxEn6TbIJRBZKBpwsHzQqOrxNrOVZc5/Qu97/ZPNVkSR6RIe3TXat3GC3oUSH59IVFxvPjUpd/7569WrtPdCs6JAlJiIlJINEJtEiuFxZhd6ed9d4FdEh1/f2WSU/Usj7iXt9X6Ljtdde095bPv30U+3WRJg2dtHh6iP5IUOWewkr+d5Q32e7jH8RQZ57Trl/zxGZ6O39k6KjQb6X86IkQAIkQAIWEWg2okOWI8iaU/eX/Kr41ltvaWv17c7ocF9OIZM++dVTJljyZb0+0SFfQmXCIb9oyq9kri95srZdlqK4flH1ldHhfp9NOaND+tnXHh0y6OXXfvmCKPtHyCRI0tZdEwLVjA6ZGHrrk+aY0SG/MMok+/zzz9ceNT0ZHSKJvNXRm9Ehv0bKJEaWIckyGfnV0zUR9yU6JJPEV52mIDokc0ImQcJEMmpkqZ78kusa4/Je4f4rr+t9sb7sNveMDl/97J7RIf0g/SoTTveXSA+RXrJEwpuAcGVeuESiZ0aHLLuQ9z9ZmuSSOJ7PmjfR6y+jQybl3phY9FmLYBMdklXlnqXmuk/PDA6jGR2ueJI9J1Jfsomkz6XvfT3v7hkd3j6r9GZ0REdHa9eRZ0DeA6wW93Jvdmd0yJ4jrv04XGxd9+WZieX+2f71119r2Yu+MjqEuXz/8Pb+SdFh1dPPOCRAAiRAAg1BoFmIDtcvifJlwHXSiusEFoEu67vly7dMDrzt0RGIpSuScSC/OMsXP9lYTH7tkrXEIjrk32WNvXzRl/0G3JeuiLCRLzzyN9mwT76oXn311dqEwX2PDklj/fzzz7W19q4Jhb89OprS0hXpV9epK7IkRX7xlV/wXaeuyP+XlGpZPiFrw2XduHCWjTS9iQ4ZI+57erjv0SG/jHnrk/rqWDWZlvsMlowOaYvKHh2SBSDrxWUCbWSPDtd4lQm8iAvZH0KyctatW6dlK8jSBl+iQ/YX8FXHqr5pyIwO+eVastZkvwpZaiL3um3bthOiQ05scC3VkvuV1HeZ0EomjGtvA8/3QtU9OuT60r/uJ63ICSyyr5D8u2Si6RUdnnt0yFiT9z73PTrk+ZQjUyV7SLJI5G/yDEoWkbfryNIHiSvvuZdffrm2XMIbk/qOAlf50A420eFazunJ7De/+Y0mic1kdEgM+UwVkSyfT8JWPuNcy40CvUeHbLIqWUuyn49sJC77VMm/NeaMDvk8l899+Tzv37+/thRMxquM41GjRuneo0P2F5PlrpJVJZ95EkMEpbf3T4oOlSecZUmABEiABIKNQLMQHfLlWj7M5UuPZHG4XvLlS37VlY1GZRLg69SVQIgOSRGXLxnyhVJ+WXOduiJLV3bs2KGtQZaNL+VXGJkQyJd42U/Cfcf5ESNGoG/fvtoXOPnF1uypK01NdEg/y/IU6WPZhFaYy+RIvoTLTv2u0yVkI7f7779fS3GWL5GuVGdJ9dVz6orst+I6BcCzC8lNmAAAIABJREFUT3jqyslTV+T5kmVjsrzEyKkrMiF1LbcSUeg+XkVqyQRaTtWQyb08Q5LVIRN3930Y3Pfo8FVHNl204tXQokPeK4S56/hJ99M2ZHIrmR6S4eF5KoUVp664RLJsmOx+zK1rci1yRZYm6BUdcsKObGAq8kI2nvR26oosWZL3eJnIde3aVXvuJYvPtUeRt71AJKNP3mtlUix7V/hiYsV4CDbRIffkjZlkx8i4MCM65L1Tni/53BVx7H6qlZWnrshSFhEZIvNk4u561uW9XjLF5McL2cNC3pdlvMn4kM9LK152Z3TIM+X6jJLMTtkrSj635LQk+W7g65QaPaeuSFait/dP+XGEm5FaMVoYgwRIgARIoCEINAvR0RBgec26BOzeo6M58Q9kRsfglAEYcM25pnG6T7JVdu8XCSUTGUlFlxRsmeB6CkvTjQtQgIYQHQG6FYa1gEBDiA4Lmh10IeT0EVmaKdkGkqUnE3FZSiVZDna+7BYddt4br0UCJEACJEACTYFAg4mOyhe2BIxfm89vDFhsBjZGQERH1fuPG6uso1bL+99FSJtOOko2vSJvPb46YDd11qCuOP/avqbjGxEdrl8wZZ29LC2S1Gr5dd6qjAvTN+UngIiOd17+PmCX+eOziYhsEx6w+AxsLQERHduezbA2qFu0M5KuQ4cLrclGClgjLQgsmSLyPiBZepL1KJJDMnck48fO1+C8zQG73LWd2iOjT9eAxWdgEiABEiABEmgOBBpEdDQHsLxHEiABEiABEiABEiABEiABEiABEiAB+wk0iOio/Hp7QO+0xYCeAY3fnINXb3ME9PZDeycFND6DkwAJkAAJkAAJkAAJkAAJkAAJNG0CDSY6KlZ/FRiyISFo8+CowMSuJ2p1dTXkSLeoqChto8um+jr+0VxUF38ZkNsL7TYEYZf+ISCxgy2o+/G/dqdcBxsLtocESIAESIAESIAESIAESIAErCTQ7ETHF198gYceeghLlizRToCw6vX9999rO7zLefSy2aL7SQ+q13CdLDF27FjISQHB9GpI0SFH6/7rX//C4sWLIac5NOTL/TQWI+2QozfltB85+lLkGF8kQAIkQAIkQAIkQAIkQAIkQALWEGhWosN15KEc1ypSIiUlxRqKHlHMigqz9QNyU7VBG0p0yJGEsru+HCkqx0dedNFFgbxNv7HNig6/F2ABEiABEiABEiABEiABEiABEiABQwSaleiQY+lmzJiB4cOH47///S/kNIdWrVpBToTIzMxE69atUVFRgfnz5+PLL7/ExIkTIcdb3njjjTh+/Dgef/xxrVxSUpKWaeEuJPr27atNxCdPnowHHngA7733ntYhIlVSU1Oxdu1aTJ06FZs2bdJ2jL/77rsRHh6O9evXa/8uv/DfcsstmDJlinZd9/o9e/bUJvjSdnnJJPuHH37Qysq/SUbAhx9+qAkAuUeJt2HDBi2e3OPpp59uaHB4q9RQoqOwsBB//etfMXjwYOzdu1fLmJElH5988gn+8Y9/QJYOCScRWG+88QYeeeQRtGzZEr/61a80PsLqT3/6E9LS0nDuuefi559/xoQJE/Doo49q/99X/3zzzTeYNm0aPvjgA20cPPbYY+jevbvWB/KSvhUJ8+KLL+KJJ55Au3bttPJSVvpX2iqnAixfvhx33nkniouL8eCDD2pHI2ZlZWnxpO2SCfT000+ja9eumDVrVoOcImDZIGEgEiABEiABEiABEiABEiABEmhAAs1KdMikWI6ke/jhh7WJsCxhkUmuiA6RCzLBlEyBXbt24Q9/+IM2MT7vvPOwbNkybUItAsSf6BCxIMLEfemKHIcnk1/5W+fOnbWJb3JyMgYOHKhdR/7muo6UlXbJxNy1dEWu7Ut0yHUkzu23345ffvlFiyeT/T59+mDu3Lk444wzcO+991o2xBpKdIhYEOkkWTgiJ0QMiCwQNrNnz9aWgPTu3VsTPMJZ+ikmJkbrM9kPoz7RIXuqeOufIUOGaDLk97//Pa644gqsXLlSO+b0qaee0mSKS3RI26QdIjrKy8u1/h0zZgyuvPJKTWR069ZN6x/p23HjxmHevHl1RMfSpUuxe/duTVBt3bpVuz+RHl26dLGs3xiIBEiABEiABEiABEiABEiABJoLgWYjOiQjQyadkhFw3XXXaZNV+fVdfuEX0eH6dT0yMlKbtMqkVibQYWFhdf5uRHS88sor2kRWpIS8Pv74Y3z00Ufa5Pndd989cR3XBpVyzUmTJukSHe5ZCp4bXLqu48oEsWJQN4ToOHLkiMZOhM2AAQM0KTFixAhcddVVWl95SqDDhw+fkDuuv9cnOkSO+OofERp/+ctftOwQ2WxW4owfPx5ff/21hvOGG27Q/k3G0aBBg7R/W7VqFdasWaNJJ5FWItBkPxj3DCD3jA4ZmxJf/nP06FEtS+eee+7RJBxfJEACJEACJEACJEACJEACJEACagSajeiQiawsK5FJq0w6ZanI3//+d205hPzNXXS4loa4BIG7CDEiOkSYzJw5s07PyKT94osvRlFR0YklKa4Cnnt01JfR4Sk6XnvtNe2ePv30Uy2cTLIbu+j46quvtCyIBQsWaJuQrlixAp9//rkmiGTJibvokH/r1auXtqREXnpEx6uvvqqrf9z7Zfv2miOSZWmM+xIY1zVl09T77rtPG2+SbSIb1PoSHfv27dPuJScnR8vKueCCCyByjKJD7c2MpUmABEiABEiABEiABEiABEhACDQb0SEndlx//fV1el2Wkbz11lto27atUkaHZGJcfvnlXvfo8LZ05aWXXtLKei4h8cwcqS+jQ7IERGrIvhTue3S4iw7Z/0Mm1tKGHj16nCjX2EWHZN9Ihov7KzExEbLkQ0SR3owO4SBLR2Q/Ffc9OkQKeesfyYhxz7jxldEhS1Uk7vnnn681USWjQwSYLMM5++yzteUuBw4cOEWc8K2KBEiABEiABEiABEiABEiABEhAP4FmITpks0jZ/0AEheukFdcJLIJK9suQzSRlaYssXZENIz33znDt0SHSwrXBpGxU6dpzwbUZqUiGNm3aaNkjv/3tbzUhIgJCNir985//rP1KLxuhysRafrl3v44sk5BMBdk/RP7jqi8ZDRL3b3/7mxZb9hgRSeO5HEOOzn3mmWe07IcWLVpom6dGREQ06owO2VxVMiNEdLhOWnHvzzPPPLOO6HBt9irCx32PDlnuIqKjX79+mlCQzVtFMkgmjwgmb/0je58Eeo8Oua5kc8gynGuvvRbr1q3T2iXZK8zo0P9GxpIkQAIkQAIkQAIkQAIkQAIk4CLQLESHnNghE0oRACIIXC+ZFMvSDtn/QZZDuESH/F2WRHg7deXgwYOaxJAMETnVRITJHXfcoWUJyDVESMgyBckUkX8X8XDzzTdrezbIJpOep6F4nrriOiXFvf7o0aO1ia/8rX///tpyCdnXwVN0yIT9hRde0DYjjY+P1/axkNNZ5L5FeFjxsnuPDllitHjxYm1PFZE8rtfq1ashy3RuuukmbXmKK2tF+sPbqSvyd1mCJPtrFBQUaH0jfSkMZeNWX/1j5akrIq5cy1fcs4gkK0VETl5enrbx6Y4dOzTBMnToUCu6jDFIgARIgARIgARIgARIgARIoFkR8Cs6ZOK4Z88ebVIpKf6y/4NM5OUl2Q1ymoTr5TpK1R/Byq+3o2L1V/6KGft7SAjaPDjKWF0ftTw3K7U0eCMLZrfoMIvHc38Ts/FU68tJMZJdEx0drW1gKpkmnsJNNSbLkwAJkAAJkAAJkAAJkAAJkAAJ+CbgV3TIkZhyRKcswXj//fe1YztdokNS7pOSknDJJZcoMa76oUSpvGrh8F4xqlXqLU/RcRJP9Y/rLWXrGSy060BL4zek6BBJKHJQMnHkWFpZnjJnzhxmaljawwxGAiRAAiRAAiRAAiRAAiRAAnUJ+BUdruKyeaP70gxZOvHEE09AllVwLwEOKxIgARIgARIgARIgARIgARIgARIggWAgYFh0yF4Dsq+A/GIuR23KfhWu/SWC4cbYBhIgARIgARIgARIgARIgARIgARIggeZHwLDokLT8nTt3okOHDmjVqpW2vCUqKkrbRNHfq6KiArJBKF8kQAIkQAIkQAIkQAIk0FgIMIu5sfQU20kCJNDcCRgWHXLCh2R1yOkRISEhWmaHw+Gw9CjT5t45vH8SIAESIAESIAESIAESIAESIAESIAE1AoZFR3FxsXY06x//+EfExMTgueeeQ1hYmK6MDrUmsjQJkAAJkAAJkAAJkAAJkAAJkAAJkAAJ6CNgWHRI+LVr12Lq1KnYsGED7rjjDjz66KPo2LGjviuzFAmQAAmQAAmQAAmQAAmQAAmQAAmQAAlYTEC36LD4ugxHAiRAAiRAAiRAAiRAAiRAAiRAAiRAApYToOiwHCkDkgAJkAAJkAAJkAAJkAAJkAAJkAAJNBQBio6GIs/rkgAJkAAJkAAJkAAJkAAJkAAJNDsCBU9fhdGrkpHzUjLy5m7B6MdTENPsKAT2hik6AsuX0UmABEiABEiABEiABEiABEiABEiglkAB5k0qROpEIH34FEQsWI+FI6JJx2ICFB0WA2U4EiABEiABEiABEiABEgg2AmOXHsWmkmrLm7V+UlvLYzaWgN8dcmLNT8ctb+7VZ4ahV9sQy+M29oDLCzKw9/DOurfhNH9X91/+d/NBGCHoCFB0BF2XsEEkQAIkQAIkQAIkQAIkYC0BER0vf1FpadBObUKwd1a7U2Lmzw5B4kzXP8cg7tYpyFowGQmdSrD05s5IXV77t5g4jJmWjUUPxCN6bQZCEtLrxpqVB+edhRjdPRUrtL/EIuHO8Zg3V2LJ/89HRogDSc7pSHDVLHcgPTYDsf9djbTetf9YtBSjuxdiins5C0iI6Fi2s8qCSHVD/O6s8FNFhwefmPPGYMqzizD50mjU5R2L5IcysfDxFMSGS9xyFCyZgvTHFyF3m/xtDjJnjkFcrZ8qfH0KJszMRu5GnNJPhZOcmD7UjeEkYNGrY1BYp389r1dzTce0WGTE5mH13bGW8Vm+PgNf7XZYFk8CtW3VEQ8Pdw3Ik6Hdmcacl4zUaZmYc2scIgCULBuN8ViEnFtjgMMFWDRxPOYtyUdh7wSkTVyEhQ/EI8LXeJ4BZIRMRkRBHiZf6Lpe3XFcuCoD6ZMWYmmdPrH0tptFMIqOZtHNvEkSIAESIAESIAESIIHmTMBu0ZHZu7hmIigTw7emIPnZOOTkjkT+zZ1xYgJdXoil91yFzXduxpzIeQiZH4viV8fU3avAQ1KUvJOOlFmRWLRmOuIjThUdpW9NQOqSYuxPSEfeQ/E1Xd5URIc7n5JcTBmxCHHLV6LfshCc4F1VCsefkzGvWzZW3hmLkuWpSFkzGtnzUxAbUYotL4zHyO/SsHluErA2A0nPxGDR/DTEdwJKV6Uj6anYU/vJxdBNdPi6nsa7NBcTxmSheH8i0vMno7YXTD9+ktHx1Y/2iY4T91i6BVkTR8IxKg/ZN8W4iY5oTegsOicP2XfGIqKqBCsmJsIxaj0WdljkfTxrci4R6UMzsf4Em5PjOP7zDCTNjMC8l2pknjben45Fdm4arFNGpruiUQSg6GgU3cRGkgAJkAAJkAAJkAAJkIBxAg0pOk5mXqSh0F10uP86HpulS3QIgYInByL7wjxkDi/wyOgoxYq70lA+Mx3F9zuQlFs7yW6KokPyWWaHwDHciaRVbqJDAEk2waokOGfEIOuaKYh8MQdjurnGTgHmxWchbk0mIh6PRX5K8cmsDZTA8bQDHe5Mwpa73IRUfaKjzvVq8mpKXx+HtPLpSC+aAMfwlW6ZC8bHr9RsMNEhF9+3AuPG7Mf099MQeSKjIwK59yeh4K71mD645t7KiwqQdzgWSaX1iY6ViJjvgKNtNlZqGS8u0TEZZVM9+0TGdBIKJ663jKO5Xmg8tSk6Gk9fsaUkQAIkQAIkQAIkQAIkYIhAQ4oOn5kCnhkddZaupCB7Vw7G4NRlJyeXDhTWFR0iNGZGIOvFFBQ+mYicwQ7MGRbRNDM69jmQPnweYuvN6Cg5dWkPZPlQKsoez0bktPHAfHcJ4hpaNUuM6lu64jujQ+qmI+KZxUgpmofEV+PheDxJW/Jh9mX30hX3rCT3ZVKx7ktXtq/AuOFTsP+GyRidMhopQ2Nq7vWUpSu147lbrdQoS4Zj2BzELsvBmJ4u0SEi8NQ+EaGVM7QMmcOtoGi2FxpPfYqOxtNXbCkJkAAJkAAJkAAJkAAJGCJgt+ios0fHqFRkLshEck+PPToQjzHPZyHr7to9DXQsXZGb9yU6CpeMREZ0NhbfEA1scJtkN5WMDjcRpO0b8fhCZI6K9dijA0h+aDUWzk1CrLc9TDTRkYziabno/Lhx0XGyf92vB2BbFkY+3gHZL6YgGgWYl5CD+DVzkGTBHL1BMzrcWNYRHdrTWI6SDbnIeT4L8wpisXD5QiQXZdSzdKVmXxltmcrcWGS/Goul2l4zvkVH9oX7sXAUT2ZRefOj6FChxbIkQAIkQAIkQAIkQAIk0AgJ2C066v4a7gJWN1Og4KlEzIlZUbOXh/wCrlN05M/ujJyhhR5LVwqRdU0vjFvl3jnjsXL/QiQfbiKbkXrjU7uExcVb9ihJ3pAKx4wERECYGFm6koziqR1QcJvvzUi9Xw8ofOEq9Lqn7j4a4/9jzSS9QUWHyLK7ypDpsXRly5pidB4WB5eCkGU7SdvHY31Crl/RkYBy5M9MwsIBE9Dv5kIkObl0xcq3VooOK2kyFgmQAAmQAAmQAAmQAAkEIYFgFB047MCU+FwkF2QiaaMe0VGOknfmeN+MdMM8DHw+Do5nkk9MOgueGohFPR1YPCS3aZy6okN0QORG8gRgwUrt1BnZjDTxrZFY/fyYUzcjXZOOfktisXJBGuKigdI1GUh+Mkbb+BJLRiK1aDJyH0lCdHgptjybhtTD6Vj/ULyWQXJSZLlfz7X/x0Iku2b+0i8LYuHQMjzMvRpMdOwrQNak0V42Iy1DVnIqCh9YgfQRMYiQjWBnJWFebA5Wxi3VITqAmmcgFdnbJmCFK8vjAWDOW9ORxM1ITQ0Yig5T+FiZBEiABEiABEiABEiABIKfQFCKjtplKMnbpiBvuAOROo6XTb5vMtJnjT/leNmIExuUuq2RkGUUE4GFz0diyokjamv7So6unXHiUFpDHWj78bK6RAdQvjYDifNjkaudYKPjeNmp85C7zf0YYMFRivwnxyNt/lJsQRySx6afOJa2ruhwu960YiQvjUfeXPc9OeqKF0OgayvZLTpcy3PkKN8Js9Ix+QYvx8uWFiBrWjoyns1FYYxwysTCucmIrfd42bpHIpevmoLYazpookNGJI+XNTNKTtal6LCGI6OQAAmQAAmQAAmQAAmQQNASsFN0BC0Eixtmq+iwuO2NMZydoqMx8mGb6xKg6OCIIAESIAESIAESIAESIIEmTkBEx7KCSkvvskNkCPbOamdpzMYUTETHv3dWndLkkBDvd+F01v13X+XG9AhHr7Y+gjQmQBa3VUTHxt0fWhq1dctoPDx8uaUxGSw4CFB0BEc/sBUkQAIkQAIkQAIkQAIkQAIkQAIkQAIWEKDosAAiQ5AACZAACZAACZAACZAACZAACZAACQQHAYqO4OgHtoIESIAESIAESIAESIAESIAESIAESMACAhQdFkBkCBIgARIgARIgARIgARIgARIgARIggeAgQNERHP3AVpAACZAACZAACZAACZAACZAACZAACVhAgKLDAogMQQIkQAIkQAIkQAIkQAIkQAIkQAIkEBwEKDqCox/YChIgARIgARIgARIgARIIGIHDjy9H9YGjlsdv98TtlsdsbAGPrXgTx7d9b3mzI8ffi5A2bSyP25wDvjT3K+zdbf1zMPmvQ5sz1qC8d4qOoOwWNooESIAESIAESIAESIAErCMgouPYqg3WBQQQ0r41Or4x3WvMwtenYMLMbORuBOJunYKsBZOR0Olk0cIlI9Fry2SUzU1CRO0/588OQWbvYuTcGlMnpvy7Y7gT04eWYOnNnZG6vObPsUPTMP7JTEy+NNqtfDkc02KREZuH1XfH1v67nnrG0YjoOJbzhvEAPmpGPb/Qp+jwxS9xZk2wmPOSkTotE3NujavhuzYDIQk5yCxYj8kXul8wHxmdE7F+vnAvREaIA0nO6UhAPjJCJiOiIM+tvPxb7d+LlmL0JGDRq2MQc7gAiyaOx7wl+SjsnYC0iYuw8IF4FMwOgas97leck+9E0ir3v8Ui+aFMLHw8BbHhlmOsE1BEx+rXtlt6kfAWocj65NenxJRxm7giE+sLJiPe/a9rM9A5YT3m7crBmCLpl/S6dWflwXlnIUZ3T8WKmpGOhDvHY95c1zPk1g/y58MFyJqajoxnc1HYOxmTZ7n1u2eryh1Ij81A7H9XI6137R+lL7unosOK/Vh8g/uzVPvcDMiDc0YCtPupHV/SJq3PZqUg1vUAW0rVfLCgEh2zNlWavyOLIoQAmNG/hd9oRaXV6D77kN9ydhXoHh2KnTOi7Locr0MCJEACJEACJEACJNAICNgpOsrXZiDpmRgsmp+G+E5A6ap0JD0Vi5zcNNSohwLMS5iDvA4dkPrSYqTUChC9oqNwkkgPACW5SL9hDiKfdmD64NrZVmkuJozJQvH+RKTnuyaYNRO2euuZ6EP7RYcOfqVbkDVxJByj8pB9U0yN6LhhIRIm5SLvoZPT7vI16YhNykDiUm+iIxHpQzOx/gRHb6IjBZunxWLROXnIvjMWEVUlWDExEY5R67FwRO2k2V2K1HKu09dVpXD8ORnzumVj5Z0uOWWiQ+qparfoSHkmAVPecZdFNSLuqj8nItslOubHoliEkXu7NflQiCmadAJK3klHyqxILFozHfER7qKjBCtuS4FjVDYyb4pFRG2/bxm7GZnDTzUQpW9NQOqSYuxPSD85DuRaQyYjb8QibHkxBSdUx7YsjDxnHHJFvNSKjpMishSOmUnIGpBbM76C8EXR4aNTKDqCcLSySSRAAiRAAiRAAiRAAoYI2Cc6yuGYGov8lOIaGaG9SuB42oEOd45BfFsAG+Yh8a1ErDgvC+nIPPErsrLokNAb5mHg0njk1WaGlL4+Dmnl05FeNAGO4StrsxE8RIeXeoag1layXXTo5bdvBcaN2Y/p76chVkRHbgQyV+1H/Jo5SNLmwKVYcVcq1sdEYMuARV4yOlYiYr4DjrbZWKllx3gTHclYf38SCu5aj+mDa4CUFxUg73AskvrqFB1SSdq3KkmbUAfyZbfoWBmRCcf+eDger81ckj65bT1i2m5Bv/m1GR06RIcwKXhyILIvzEPm8IKTmTXbsnDVtEhku4sSeSaej4PjmeST0kKDKv2dhvKZ6Si+34Gk3FoRqImoYiS2dSB62soTmR4FTyYiZ38iMiJHnyo6RE7NSoZjmANzhgVnSgdFB0VHIN9LGJsESIAESIAESIAESCAICNgnOkQqjAdkEtfN+43nz05E3qg8TO4mk779mF6b6WFIdNTJFpBrpyPimcVIKZqHxFddE0wvosNLloHRbrJbdOjn5yYmakXCD93mICM6u0YuyS/2j3fAnOHZmANvosOBpDKZzM5B7LIcjOnpY+nK9hUYN3wK9t8wGaNTRiNlaMyJ5Uga02ac0eEY/gNiZmWgQ23mkiw5yoieg6Rlc2qekVOWrqTUZHqgbkaHpguXjcZ4z37yJoiE911lyBTB5T6o5d9nRiDrxRQUisQYXCspavsn877NSP18dE2mhyxxGVaA0U+WY+CaGgFVd+kKEPd/K5E331OmGH2KrK/XqEWH83gVDhV9j93/W4mq8iOIG/sQwlpGAE4nij99H4Vv/QMVh/ajQ99BiEudjJbtO+omGMiMjiHdw3BfYktcdU44SsuduCDzsNauqFYhyE6NxPBzW6BVGFB8qBoz3jmGFz+r0N1uLl3RjYoFSYAESIAESIAESKDZEAga0eGaQGnLIUqRe38qiifV/IpsWnTUTtyztfR7Wd6RU5u90IREhxI/D9HxTByK5wPp95djzqtjULZkNLJ6ZmNCSeqpE2i37I34zzOQNDcW2a/GYqm3PTq0p6gcJRtykfN8FuYVxGLh8oVIdokuH6LDff+O5IdWY+HcpLoT8wA8nXZndCzsW4xF4elIK5+DnFvLkJWShdilE1ByW60MFNGhM6NDSXSMKka6x94gNZKlVnJJVpBLBGpLVwqRXpwMR0IuEvOnI35NOlK3pyEnbumJTJu6z2cp8mcnY44Ny42MDoNGLTpEcBzc/g0iOnXGwcLN6J+WromOQzu34rvXntHER0SnLihy5KDs52L0uWkCECIKw/8rkKJj/aS2CA0BwkKB0JAQ9J9bs8fHX0ZGIO3ilnhyzTEsXV+Jl1Mj0alNCBIWHMGhY07/jQZA0aELEwuRAAmQAAmQAAmQQLMiYJ/oqH/pSlz+FEReM68O+/j567H+/+KNiQ7Z2HFFAgrnJqH4havQ6x5Hndjj/7MfC0eV192jQ0q41TObeG9nRkf5KgV+7r/syy//2oRalpqIXJqD0rE1Iqjf614yBdyXqaAc+TOTsHDABPS7ubBms9IT8iIZ+9cUo/OwuBPLJGT5UNL28Vqfai8/GR2yb0TyhlQ4ZiTUzQQJwBNqt+jQ9rQYsR4TxhRj8uOlSNXkQj+scGU9KYiO/NmdkTO00ODSlUJkXdML41a5Qx2PlfsXIvnwyeyRiKcSkXNhNgb+awL2yzKWfSeXFJ0iIm1abmR0GDRq0eG66V+2fI6iD984IToqDu7HsQM/I6p7zVaynn/XAyuQosN1/Q9+3wad24WeEB13DGmJPqeHYlpuuVZk8c2R+FXfcNy2tAyObVV6mk3RoYsSC5EACZAACZAACZBA8yJgn+gAZIPLfktisXJBGuKigdI1GUh+MgbZuaNRcFdz6V8YAAAgAElEQVQSCie6nfwhm4cO24K0gsko13nqimtT0fKiXMy5ybUZ6RbMi89C3JqFSHbtpih7FSyIhePFROS6bUZat55ZzQHYJzpkjwWd/PYVIGvS6LqbkdZmDkSvSUfSNAeQskhbpuA1U6CO6JCTPRyYEp+K7G0TsKKO6EjAyuRUFD6wAukjYhCh7d2QhHmxOSc3FvW3dAWFyEqeACyoyewpPwxEyF4uh0tR3jYaEVXlKEcEIiw4kaVBRMet0XBMS0L6GmD0s7IxqdvyLl2ioxwl78ypZzPSROQMX42ssfVsRupl346CpwZiUU8HFg/JPbnxqWRFjc3C/rgpyJXMKDeZUW9Gx+FyoG0EUFWO0qoIREe49WMDvdU2iOioqKhAcXHxKbf8z8NdDGGoT2RUV1bg+zcWo1X0aegx/Le644vouK3tbr/lSw6HYuiL7fyW81bAU3S4lxl6VhievykSpWVOXL7oiO74ndtWI/+ug7rLsyAJkAAJkAAJkAAJkIA+AmeddZa+gkFYyk7RIbevHS87dR5yt8WcPF4WbptjnmAkp1D0g2P4Zoz8X6THcaQ1+xXELvFxvOyI8Zg8bQ7Gy/GyHpuS1oR3TaCzEDnN7Vha93oW9JVtosN9c1E//GLOG4MJs9Ix+Qa342VPLJEowLz4dEQvrxELukSHLE5ZNQWx13TwEB1jEFNagKxptcebxsQheWwmFs5NPrkMxa/oAOSknsT5schdEIHJ8VswpTgNhbfFY8vEYqSsuwoTsBCr74sz3VsNIzpiasbntOjak4c8RIeO42WT75uM9Fnja49oVj9e9uRGpm5iT6TGRGDh85GYcuKEF5FpcVg/trBmk1EP0XHK8bLakcBy8ktNX6UVpiJ+2xQU35CHq+4HFjrGw3yvGev2BhEdVVVVENnh/pKFGfMK/R/n6u02fYmOrf9egB//9zY6DRiKvmMfQovW+o9dlRUuk3v6P+72xwNO9MnUl23h2XZfomPT1Cj0OzMURQeqMenNciz/0n87XLG7tgO2PmSMo7EhxFokQAIkQAIkQAIk0DwItG7dutHeqN2io9GCMtBw20SHgbaxSl0CdooOsm9YAg0iOnzd8qxN+if07jHqy+iQDUuLPvoPjpbsQJ9bJiIkNEwX8YZYuuLeMBEdC1MitaUt1794BFv3VutqN/fo0IWJhUiABEiABEiABEigWRGg6Ahcd1N0BI6t1ZEpOqwmGrzxmqToKNv7I6rKy07s0XH4xx+w9ZUFOO/uP6FlVAddvdEQomPqsFaIjgw5sUfHrF9FaKezTHqzDP/6Qp8EoujQ1b0sRAIkQAIkQAIkQALNikB1qf6l0CpgQqPbqBRvkmWdB2sOFrD8FRaKkDbkayXXQ/v1n2apct2oDi1VirOsDQSapOgo3fY1vn/9efS/Kx2tOp6BHz96Awd3bEXf1EkIDde3rKMhRIdkcNwa3wKPvV+OFV9V4Z+3RqJHh1CMefko1u06rms4UHTowsRCJEACJEACJEACJEACJEACJEACTZRAkxQdTqcTJWvf0zYhrSo7jA59ByEudTJatu+ouxsbQnR0ax+K526MxPBzw9EiFCg+VI0Z7xzDi5/pN48UHbq7mAVJgARIgARIgARIgARIgARIgASaIIEmIToC0S92iI5AtJuiIxBUGZMESIAESIAESIAESIAESIAESKCxEKDo8NFTFB2NZQiznSRAAiRAAiRAAiRAAiRAAiRAAiRwkgBFB0UHnwcSIAESIAESIAESIAESIAESIAESaDIEKDooOprMYOaNkAAJkAAJkAAJkAAJkAAJkAAJkABFB0UHnwISIAESIAESIAESIAESIAESIAESaDIEKDooOprMYOaNkAAJkAAJkAAJkAAJkAAJkAAJkABFB0UHnwISIAESIAESIAESIAESIAESIAESaDIEKDooOprMYOaNkAAJkAAJkAAJkAAJkAAJkAAJkABFB0UHnwISIAESIAESIAESIAESIAESIAESaDIEKDooOprMYOaNkAAJkAAJkAAJkAAJkAAJkAAJkABFB0UHnwISIAESIAESIAESIAESIAESIAESaDIEKDooOprMYOaNkAAJkAAJkAAJkAAJkAAJkAAJkABFB0UHnwISIAESIAESIAESIAESIAESIAESaDIEKDooOprMYOaNkAAJkAAJkAAJkAAJkAAJkAAJkABFB0UHnwISIAESIAESIAESIAESCAiB8zMPBySu2aAXdgnFvddE4OsD1WZDWV7/mjPD0KttiOVxGZAEmhMBig6KjuY03nmvJEACJEACJEACJEACNhIIm3IA1U4bL6jzUmMHtdBEx+o9x3XWsK/Y784Kp+iwDzev1EQJUHRQdDTRoc3bIgESIAESIAESIAESaGgCFB3qPUDRoc6MNUjAkwBFB0UHnwoSIAESIAESIAESIAESCAgBig51rBQd6sxYgwQoOnSOAVkVN6N/C7+li0qr0X32Ib/l7CrQPToUO2dE2XU5XocESIAESIAESIAESIAEfBKwTnSEYvJ9bZHZ24msyYcwziRzy5eulH2Gbx5Lx9ERL2HgFTGmWkfRYQofK5OARoAZHT4GAkUHnxASIAESIAESIAESIAESMEfAKtERO6wN1v86HNGoDkLRcRg/vzwOG7/4BVG/oegwN2JYmwSsIUDRQdFhzUhiFBIgARIgARIgARIgARLwIGCJ6OjUCqsnRqDzj8fRuU8IcoIso6Pqm4VY904P9OiyEHtiKDr4EJBAMBCg6KDoCIZxyDaQAAmQAAmQAAmQAAk0QQLmRUfNkpU5bSsx8tNQ5FwfGlyio2wDtv7lH2gz8a9o/cE1KKToaIKjmLfUGAlQdFB0NMZxyzaTAAmQAAmQAAmQAAk0AgKmRcflbbB/ZChysg5hXEwb7A8q0VGB/cvHoTBmLgZeFoP9r1B0NIIhySY2EwJ+RYfT6cSePXvw2muv4dNPP8Vf//pXnHbaaZB/f/PNNzFz5kwcPHgQjzzyCNLS0hAeHm4Y3axNlYbrWl2Re3RYTZTxSIAESIAESIAESIAEmhsBc6KjFVbPikDnTUfQ75UqQKRHEImO6q0L8enKHoh/8DpEhIKio7kNbt5vUBPwKzq+++47zJ8/H5dffjnef/99ZGZmaqJjx44deOyxxzBr1iy0b98eDz/8sCY6Bg0aZPiGKToMoztRkaeumGfICCRAAiRAAiRAAiRAAtYQMCU6boqCc2io14Zs+ewA+r1ivI3mT13Zjx+f+i22fu+lDbETkDD5OkQYbB5PXTEIjtVIwI2AX9HhKvvzzz9j+vTpyMjI0ETHJ598AofDgRkzZmhFsrOztf9OTU01DJiiwzA6ig7z6BiBBEiABEiABEiABEjAYgKmRIdnW4Iso8OzeVy6YvHgYTgSMEGgQURHRUUFysrK6jTbCWBBUWsTt2J91Qe7HfUbdPdBoN9f/RazrUDX9sCmB227HC9EAiRAAiRAAiRAAs2GgGQx86VGgKJDjZeUZkaHOjPWIAFPAg0mOvbu3XtKb2SVnhE0PSR7dNwV/ZPf9hQfCsGQF9r4LWdXgS5RTnx29xG7LsfrkAAJkAAJkAAJkECzIdC1a9dmc69W3ailosOqRgEwv3TFwsZ4hKLoCBxbRm4+BBpEdPjCy6Ur5gce9+gwz5ARSIAESIAESIAESIAErCFA0aHOkaJDnRlrkIAnAcOig5uR1qAsKq1G99mHgmZkUXQETVewISRAAiRAAiRAAiTQ7AlQdKgPAYoOdWasQQKWiQ4eL0vRwceJBEiABEiABEiABEiABOojQNGhPj4oOtSZsQYJGBYddqDj0hXzlJnRYZ4hI5AACZAACZAACZAACVhDgKJDnSNFhzoz1iABig6dY0A2I53Rv4Xf0ly64hcRC5AACZAACZAACZAACTRTAhQd6h1P0aHOjDVIgKJD5xig6NAJisVIgARIgARIgARIgARIwAcBig71oUHRoc6MNUiAokPnGKDo0AmKxUiABEiABEiABEiABEiAosOyMUDRYRlKBmrGBHSfumIHI+7RYZ4y9+gwz5ARSIAESIAESIAESIAErCHAjA51jhQd6sxYgwQ8CVB0+BgTzOjgw0ICJEACJEACJEACJEAC5ghQdKjzo+hQZ8YaJEDRoXMMUHToBMViJEACJEACJEACJEACJOCDAEWH+tCg6FBnxhokQNGhcwxQdOgExWIkQAIkQAIkQAIkQAIkQNFh2Rig6LAMJQM1YwJcuuKj8yk6mvFTwVsnARIgARIgARIgARKwhAAzOtQxUnSoM2MNEvAkQNFB0cGnggRIgARIgARIgARIgAQCQoCiQx0rRYc6M9YgAYoOnWOgSWd07NwJJCToJGFTsbPOAvLy6r1Y2a79+PHVL2xqkL7LRHbvgK43D9JXmKVIgARIgARIgARIoJkRoOhQ73CKDnVmrEECFB06x0CTFx0iFoLpJeJFh+jYkfVJMLUaUf06U3QEVY+wMSRAAiRAAiRAAsFEgKJDvTcoOtSZsQYJUHToHAMUHTpBWVWMosMqkoxDAiRAAiRAAiRAAkFDgKJDvSsoOtSZsQYJUHToHAMUHfWAGjECmD8fOPdcoKwMePll4N57dZL1UcwG0VF+vAI533+E/JKNaN+qLcb2uRZ9O/Qw1W5mdJjCx8okQAIkQAIkQAJNnABFh3oHU3SoM2MNEqDo0DkGKDrqAfXZZ0BEBHDffcDYscCNNwIzZwLPPKOTrpdiNoiO/2z/BOVVx3BDr8vxw8HdeLPwfxjX79fo2Kqd4XZTdBhGx4okQAIkQAIkQALNgABFh3onU3SoM2MNEqDo0DkGKDp8gEpKAhYvBpYuBdLTgT59gJUrgY8+AsaN00nXftFx7HglXv72PVzb4yJ0a3sGqp3V+Ne372HIGXHo17Gn4XZTdBhGx4okQAIkQAIkQALNgABFh3onU3SoM2MNEqDo0DkGKDp0ig4ptmkTUFwMXH21TroNLzqkBcu++wAxrTtiWNeBhttN0WEYHSuSAAmQAAmQAAk0AwIUHeqdTNGhzow1SICiQ+cYoOjwASoqqiZ7IzwcuOce4LrrgIkTgbVrg1p0OAG8/sPHqKqu0pauFB/9GYs3v41hXeMpOnQ+EyxGAiRAAiRAAiRAAqoEKDpUiQEUHerMWIMEKDp0jgGKjnpA3XUXMHs2EBMDlJQAISFAbm5QL12RuzlQcURbrvJt6U6cG90DTqcTV3UbxKUrOp8JFiMBEiABEiABEiABVQIUHarEKDrUibEGCZxKYOPGjWjXrh1CnDLra+DXrE2VDdyCk5en6NDZFaNHA/Pm1WxEOneuzkpeitmwGan7VY9UlSP72/fxm16X4YzIDobbzaUrhtGxIgmQAAmQAAmQQDMgQNGh3snM6FBnxhok4EmAosPHmKDo0PGwjBkDzJgBHDsG3HwzsHWrjko+itgoOg5XlmknrkSEtdCWsYSGhBpuN0WHYXSsSAIkQAIkQAIk0AwIUHSodzJFhzoz1iABig6dY4Ciww8o2YC0Vy9gwwbgkUeADz/USbZhRYdsQPrlvu9xWZfzMbz7YLQMbWGq3RQdpvCxMgmQAAmQAAmQQBMnQNGh3sEUHerMWIMEKDp0jgGKDp2grCpmY0aHVU2WOBQdVtJkLBIgARIgARIggaZGgKJDvUcpOtSZsQYJUHToHAMUHTpBWVWMosMqkoxDAiRAAiRAAiRAAkFDgKJDvSsoOtSZsQYJUHToHAMUHTpBWVWMosMqkoxDAiRAAiRAAiRAAkFDgKJDvSsoOtSZsQYJUHToHAMUHTpBWVWMosMqkoxDAiRAAiRAAiRAAkFDgKJDvSsoOtSZsQYJUHToHAMUHTpBWVWMosMqkoxDAiRAAiRAAiRAAkFDgKJDvSsoOtSZsQYJUHToHAMUHTpBWVWMosMqkoxDAiRAAiRAAiRAAkFDgKJDvSsoOtSZsQYJBIXocDqdkP+4v+T/ZWw5HjQ9JKJjelyY3/YUlVbjrIwjfsvZVaB7dCi2T29T7+VCdu1CSM+edjVJ13WcQ4fC+ckn9ZYtLyrFzhfzdMWzq1BUvxh0vnGgXZfjdUiABEiABEiABBqQQGhoaANevXFemqJDvd8oOtSZsQYJBIXoqKioQGFh4Sm98UpVryDqISd+G35qGz0buOdIGK7IPj1o2h3T5jg+TN1bb3taFBej17BhQdNmaUjZhRdi57//XX+bfi6H8/1dQdVudG+LkEs7B1eb2BoSIAESIAESIIGAEDj33HMDErcpB6XoUO9dig51ZqxBAkEhOnx1w6xNlUHTQ1y6YnNXcOmKzcB5ORIgARIgARIgARIIPAGKDnXG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IIGgIUDRod4VFB3qzFiDBCg6dI4Big6doKwqRtFhFUnGIQESIAESIAESaDYESlH4DRDbNzpo75iiQ71rKDrUmbEGCVB06BwDFB06QVlVjKLDKpKMQwIkQAIkQAIk0GwI5CMjxIEk53QkBOk9U3SodwxFhzoz1iABig6dY4CiQycoq4pRdFhFknFIgARIgARIgASaDQGKDqNdPXZQC9x7TQRW7zluNETA6lF0BAwtAzcjAhs3bkS7du0Q4nQ6nQ1937M2VTZ0E05cn6LD5q6g6LAZOC9HAiRAAiRAAiQQ/AQK4Vi2BYiLw8DesYhu69liig6jfUjRYZQc65FA4yBA0eGjnyg6bB7AFB02A+flSIAESIAESIAEgp9AIVbcPwWLCgrgWFsIxMQhaUAi4ocnIHFwP8TF7Ud25wKM5NIV5a6k6FBGxgok0KgIUHRQdATHgKXoCI5+YCtIgARIgARIgASCk0BVOUr3FWLLli3Y/Hke8lcVIO9rB7aUzEEeRYdyn1F0KCNjBRJoVAQoOig6gmPAUnQERz+wFSRAAiRAAiRAAo2LwOFyoG1E0LaZm5Gqdw336FBnxhok4EmAooOiIzieCoqO4OgHtoIESIAESIAESCD4CUh2R9EWrC9Yj4L8SCTNHYP4IG01RYd6x1B0qDNjDRKg6NA5BrhHh05QVhVrwqJj94GtVlGyNE6X9n0sjcdgJEACJEACJEACgSBQjtLtLqmRj9z/Omr260AsEu5MQerwVKTeGo/oQFzagpgUHeoQKTrUmbEGCVB06BwDFB06QVlVrAmLjk3FH+PfXzxmFSlL4iTEpiC5/3hLYjEICZAACZAACZBAoAjIqSqJSB+ahukp8eh3Xhzi4gYiNmYLFkU6kBTEe3O4iFB0qI8Nig51ZqxBAhQdOscARYdOUFYVo+iwiqSuOBQdujCxEAmQAAmQAAk0OIGSNfMweeIilCRMxvRZ45EUI00K/mNlKTqMDx2KDuPsWJMEXAS4R4ePsUDRYfNDQtFhK3CKDltx82IkQAIkQAIkYJJAKbYsm4MJk7KBW+dgztRYODrnM6PDBFWeumICHquSQCMgQNFB0REcw5Sio95+iIu5BEl9bscZUT2x/ecvsWTtQ6b6jaLDFD5WJgESIAESIIGGIVBVAsdT4zFu6goUYjxW7l+I5GDdnKOWEJeuqA8VZnSoM2MNEvAkQNFB0REcTwVFh89+OOeMi3D9gP/DgbKf8OG2bHz302em+4yiwzRCBiABEiABEiABGwjkI2NAHpK/nlz3VJWSfGTNTUf6MiB1/kLMuTUOwXrALEWH+jCh6FBnxhokQNGhcwxw6YpOUFYVo+jwSfKGC6agR8cBWPb5TPx0aIclxCk6LMHIICRAAiRAAiQQYAL178VRunEFFs0qRNKrk5EQ4JYYDU/RoU6OokOdGWuQAEWHzjFA0aETlFXFKDp8krzvsufQKrw12kV0QnhYSxTt34I3vso0JT0oOqwauIxDAiRAAiRAAoEk0Hg2HfVFgaJDfXxQdKgzYw0SoOjQOQYoOnSCsqoYRYdPkg9c8SIiWrTGu5v/jqrqCow670EU/vwllhdkGKZP0WEYHSuSAAmQAAmQgI0ERHSkIHtYPyQOTkZCQjz6xfVDXLcYRLe1sRkmLkXRoQ6PokOdGWuQAEWHzjFA0aETlFXFKDrqFR279m/WsjjkdfvFT6BdxOl4+qO7DNOn6DCMjhVJgARIgARIwEYCIjqyEZOfgg5bCrB+XR7yCwrgWFsIxMQh6bIkJAxJRtpDyYi1sVUql6LoUKFVU5aiQ50Za5CApaLjpZdewu23334i5ssvv4zU1FTDlGdtqjRc1+qKFB1WE/UTj6LDJ6AJVyxGadkevPzZ9BOiIyriNCz8aJzhTqLoMIyOFUmABEiABEjARgI+lq5UlaN0XyG2bNmCzZ9HIImiQ7lPgv142ZBjXyrfk10VYk+70K5L8TokYJiAqVNXZs+ejaSkJFxyySWGG+BekaLDPMbu0aHYOSOq/kA7dwJnnWX+YlZGoOjwSfPX503EgC7DsOa7l3DkWClG9LuPS1esHHuMRQIkQAIkQAJBS4B7dASqa4JddKz8Yhx+OrQ9ULdvOG6X9n1w32XPGq7PiiRgFwHDouP48eN44oknMHr0aJx77rmWtJeiwzxGig7zDFUiRPXrjK43D6q3yqbij/HvLx5TCVunrGxEemP8NJxz+mCEhIThx9JvuBmpYZqsSAIkQAIkQAIkYCcBLl1Rpy1LVyg61LmxBgm4EzAsOsrKyjBp0iR88skn2L59O2655RZkZGTg9NNP90u4oqIC+/btO6Xc4v3+6/oNblEBWbqS1mGv32jFh0Iw+PnWfsvZVaBLlBPr7jla7+XCfvwRZ150kV1N0nWdikGDsO8//6m37PE9R3DkzW91xbOrUHhsNFoP71Xv5X4oXYf3flhgV5N0XWfA6dfg0u5jdZVlIRIgARIgARIggRoCXbp0aSAU5Sj9pgDri8sQ2bkf4nrGIDqigZqieFmKDkVgtXt0UHSoc2MNEnAnYFh0OJ1O7Ny5Ex06dECrVq0wf/58REVFYcKECX4JV1ZWQkSJ+8sJ4G+7Iv3WtbPAH7rXbaO3a+8+CMQ9Ja0PjlfX9sDmP4im8f0KLSpC2/79g6PBta04ftFFOLJqVb1tqig+iH3LNgRVuyPO6YSOo/rV26at+/Lx5ua5QdXuQV1/jaSz04KqTWwMCZAACZAACQQ7gXbt2tnfxO0rMG74aDg6JSFWVicfKoRjbRnibp2CrAWTkdDJ/iapXJGiQ4VWTVlLMjraXI+bBt+F86NqjuepqtiGL768F2/vUW+Pew0uXTHHj7XtI2BYdFRVVWmyom3btggJCdEyOxwOB2bMmGG49Vy6YhjdiYpcumKeoUoEO5auqLRHb1luRqqXFMuRAAmQAAmQQEMSKMWKu+KQMzwP2be6natSXoqC1+dgysxipK3KxpieDdnG+q9N0aHeN+ZFRwx+dfkSXBL+Kd7+4lF8ihG4KX4izg//FMs/eBRfqTfpRA2KDhPwWNVWAoZFR3FxMWbNmoU//vGPiImJwXPPPYewsDBdGR2+7pCiw3zfU3SYZ6gSgaJDhRbLkgAJkAAJkAAJqBGQzUhXIsk5BwleKpavmoJ+a5Kx+fEkBOtKFooOtR6X0uZFx/UYm/R7RO0dgWe+rr3+BUswO+ZnvPveFHyi3iSKDhPMWLVhCBgWHdLctWvXYurUqdiwYQPuuOMOPProo+jYsaPhO6HoMIzuREWKDvMMVSJQdKjQYlkSIAESIAESIAE1AoXIumYKIl/MwZhu3kyHA1Ni85FaPB3xaoFtK03RoY7avOjwvGYMrr5kCS4JexMLPn4O+9WbRNFhghmrNgwBU6LD6iZTdJgnStFhnqFKBIoOFVosSwIkQAIkQAIkoEqgcMlIjF6XhpxnUuC2eKUmzL4VGDdgC8ZTdKhiRXM6XrbPBUtwa1fgyy/uxBvco0N5rLBC4yRA0eGj32Q7zxn9W/jt1aLSanSffchvObsKUHTYRbrmOhQd9vLm1UiABEiABEig+REoRO7EVKSticWEaalITkhEbDRQXpKHrKlpWDksF3n/F6z5HAAzOtRHrJUZHX36/x039eyI3d88gCXfl6g3xqMG9+gwjZABbCJA0UHRYdNQ83OZhAQgL6/eQmW79mNHlplVhdbfKkWH9UwZkQRIgARIgARIwEWgFIXfALF9o1Gydimyns/Cyv86kL8NQO9kjJ+YjjkPJCA6iIFRdKh3jlWio/M5mbirzznY/c29lkgOuROKDvX+ZI2GIUDRQdHRMCPP86oUHbb2A09dsRU3L0YCJEACJEACBgnIZqQOJDmne92M1GBQW6tRdKjjtkJ0dDg7E/f3tVZyUHSo9yVrNBwBig6KjoYbfe5XpuiwtR8oOmzFzYuRAAmQAAmQgEECFB0Gwfmt1tT36PjNlasxqO2pGPbuugoLvvSLx2cBZnQYZ8ea9hKg6KDosHfE+boaRYet/UDRYStuXowESIAESIAEDBIQ0ZGNuOI5SO4UjYhwg2EasBozOtThW5HRoX5VfTUoOvRxYqmGJ0DRQdHR8KNQWkDRYWs/UHTYipsXIwsxv2sAACAASURBVAESIAESIAGDBER0pGBhTAlKSoDYoUmIj09A4pCBiI+LQ7++sYiJjjAY255qFB3qnCk61JmxBgl4EqDooOgIjqeCosPWfqDosBU3L0YCJEACJEACBgm4LV05XIqSoi3YvGUzCvLzkft5Hjav2YISzEFeEO/hQdGh3vUUHerMWIMEKDp0jgEeL6sTlFXFKDqsIqkrDkWHLkwsRAIkQAIkQAINTMD/Hh3lpeWICOKsDooO9SFE0aHOjDVIgKJD5xig6NAJyqpiFB1WkdQVR4/oKNxXpiuW3YViO0XWe8niMqfdTdJ1vc6R8q7CFwmQAAmQAAmoEChE7swCxM5KQZxKtSAqS9Gh3hkUHerMWIMEKDp0jgGKDp2grCpG0WEVSV1x9IiOdzf+jH+tLdEVz65Ctww5E6Mu6FTv5T7YU428fcftapKu69zQNQwDokN1lWUhEiABEiABEmhKBCg61HuTokOdGWuQAEWHzjFA0aETlFXFKDqsIqkrDkWHLkyWFaLosAwlA5EACZAACTQyAhQd6h1G0aHOjDVIgKJD5xig6NAJyqpiFB1WkdQVh6JDFybLClF0WIaSgUiABEiABBoZAYoO9Q6j6FBnxhokQNGhcwxQdOgEZVUxig6rSOqKY6fouKB7W9x9WVccPXYcU3O26Wqfr0J2Ll2pKj+KTS9mILLjmehzy0RT7aboMIWPlUmABEiABBoxAYoO9c6j6FBnxhokQNGhcwxQdOgEZVUxig6rSOqKY6fomHxND1zYvS2KSysalegoWfs+tr76NGIuGk7RoWtUsRAJkAAJkAAJnEqAokN9VFB0qDNjDRKg6NA5Big6dIKyqhhFh1UkdcWxS3Rc2/80jDz/NBwuP47w0JBGIzrKf96D73KeReTpXVB9rJyiQ9eoYiESIAESIAESoOiwYgxQdFhBkTGaO4GNGzeiXbt2CHE6nQ1+JuOsTZVB0x8UHTZ3BUWHrcDtEB2d27fExKu6Y3fpMURFhCM6MrxRiA5n9XFsW/E82p/dHxUHfsHRkp0UHbaOTl6MBEiABEigKRFgRod6b1J0qDNjDRJgRofOMUDRoROUVcUoOqwiqSuOHaLjjsTOGNC1LZ79qAg3Dz6z0YiO0u++QvHa93DuLQ9i9ye5FB26RhQLkQAJkAAJkIB3AhQd6iODokOdGWuQAEWHzjFA0aETlFXFKDqsIqkrTqBFx+Ce7XBbQgw+2XYAr6zbg2nJPRuF6Kg6ehhbXs5EzxG/Q1T33ij68A2KDl0jioVIgARIgARIgKLDqjFA0WEVScZpzgS4dMVH71N02PxYUHTYCjzQoiPt0i4Y1rcD5Dlyf+0/UolnP/oRm3YfMXS/gT51Zf+3Bfhy0SNwVlfXad9p/S9C/7R0hLWMMNRunrpiCBsrkQAJkAAJNAECzOhQ70SKDnVmrEECngQoOig6guOpoOiwtR8CLTo8b6axZHR4tpsZHbYOS16MBEiABEigCRKg6FDvVIoOdWasQQIUHTrHADM6dIKyqhhFh1UkdcWh6NCFiUtX9GFiKRIgARIgARLwSYCiQ31wUHSoM2MNEqDo0DkGKDp0grKqGEWHVSR1xbFbdOhqlI5CgV66oqMJhoroWbpSfu9HhmIHslL4rb0RfmXXQF6CsUmABEiABJo4AYoO9Q6m6FBnxhokQNGhcwxQdOgEZVUxig6rSOqKQ9GhC5NlhfSIjrLfrUZl9lbLrmlFoNZrrqPosAIkY5AACZBAMyZA0aHe+RQd6sxYgwQoOnSOAYoOnaCsKkbRYRVJXXEoOnRhsqwQRYdlKBmIBEiABEigkRGg6FDvMIoOdWasQQIUHTrHAEWHTlBWFaPosIqkrjgUHbowWVYo0KIjJKoFIrOvRvjw7kCrMDiLj6B8xmeofPEbU/fAjA5T+FiZBEiABEgAAEWH+jCg6FBnxhokQNGhcwxQdOgEZVUxig6rSOqKQ9GhC5NlhQItOlr9ZShapsXh2JMbULX0O0S+fBVCOkXgSMIKOA9VGr4Pig7D6FiRBEiABEiglgBFh/pQoOhQZ8YaJEDRoXMMUHToBGVVMYoOq0jqikPRoQuTZYUCLTpa3NEXoX3a49i0T7U2Ry6+EuG/6oGy21ajyvGj4fug6DCMjhVJAOXV1Xh370E8vWMPDldV450h56Bji/CgJ+OsrMLxrbtR+fV2oPI4IlISENImIujbjYrDqP7uA1TvyAMi2iE8KT3429xMWkjRod7RFB3qzFiDBIJCdFRWVqKsrKxOW5wA/rYrMqh66A/d67bRW+N2HwTinpLWB8era3tg8x9E0/h+hRYVoW3//sHR4NpWHL/oIhxZtareNlUUH8S+ZRuCqt0R53RCx1H96m3T1n35eHPz3KBq96Cuv0bS2Wn1tsnx3SEsLygNqnbfcH57XNO3Xb1t+t+BFvj8YHBNJn51WgX6tj5eP8txnwDLt5vmHTb0TEQ+fwWcpRU4cvkb5uK9fTVw2ZnmYrA2CTRTAn/avg/rD5eje6twfHnkGN4+rzs6hIcGPY3Q/30L/HIYaNMKKD2C6hEXAq1bBX27W362AHBWI8RZDaAax4ZOCUib27Wr/zMoIBdt5EEpOtQ7kKJDnRlrkIAngY0bN0Les0OcTqdts/WKigrs27fvlN5YvP/0oOkhUQVpHfb6bU/xoRAMfr6133J2FegS5cS6e47We7mwH3/EmRddZFeTdF2nYtAg7PvPf+ote3zPERx581td8ewqFB4bjdbDe9V7uR9K1+G9HxbY1SRd1xlw+jW4tPvY+oXB9mN4c3P9Y0nXxSwsNLJvJK7sVf8vi5+VtcFX5cHzTMrtX9nmIHq3PFYviYgJXyD89SJTtNpuugWh/Tqguugwjk3KQ+Xy703FK1t+CY4ndjIVg5VJoLkTWPrLUfxj3xG80uu0RiE6XP3V6psStCzch8NXngtnZItG041R3/4bYWU/o/TC8QFpc5cuXQIStykHpehQ712KDnVmrEECngQaRHT46oZZm4yvJbe6a7l0xWqifuJx6YqtwLl0xVbcCPTSFfe7EdERsfAyhHZujaPXv4vqrcazcrh0xd5xwqs1TQKLd+3Dwh174Lj43EaxdMXVC5XrvkPV5l2IuDGxcSxdqW348bXPwnn4J4Rf/aemOaAa4V1RdKh3WrCLjrTwB3F8+0/qNxbgGiEtwxHa0vj3nvqaZ0VGQGn8FfjcURxgCsbCj7ytt7GKQVyLosNH51B02DxqKTpsBU7RYSvugIuOllPjERLd8sQeHa1mXYSW9/VH+aRPUPmvrYZvlqLDMDpWJIETBCg67B0MFB328tZzNYoOPZTqlmkMouPQtH+p31iAa7SZMBLOHzeg8tN1Ab6SgfAtW6Js9nxMTVltoHJgqwxL6Yk7/nh+YC/SANEpOig6GmDYebkkRYet/UDRYSvugIsOyeBoces5OPbYOlStKETEP5MQ2qMtysZ8gOPrjP/iQtFh7zjh1ZomAYoOe/uVosNe3nquRtGhhxJFhzqlU2tQdBijSNFhjJtSLS5dUcLltXD36FDsnBFVf6CdO4GzzjJ/MSsjUHRYSdNvLIoOv4gsLRDopSuh3doi4rnLET68G9AiDM7iIyif8RkqX/zG1H1QdJjCx8okoBGg6LB3IFB02Mtbz9UoOvRQouhQp0TRYQUziUHRYRXJeuJQdJiHTNFhnqFKhKh+ndH15kH1VtlU/DH+/cVjKmEDXpaiI+CI61wg0KIjUHdD0REosozbnAhQdNjb2xQd9vLWczWKDj2Ump/oCE8cipZX9EfL+C4IO7wRP9/1ujoojxrWZHScjvCLhyL8ivMR3usshOxagUMZ75puG6xauhJ3Jq4e1hWDLjsdPXtWYF3CGrxosnUUHSYB6qlO0aGHUv1lKDrMM1SJQNGhQst82VuGnIlRF9R/CsgHe6qRt8/PUa7mm6IUoSmLDueB3Uos7Coc0r7+kxGOlvo/Ptyutrqu07J1S4S3DKv3sqV7y+1ult/rRZ9e/0lIVUcPw1kZPJuNu26oRfsOfu/NigIUHVZQ1B+DokM/K7tKUnSok276e3TcgOgPzkPIzt04HtYDLbABP98eJKJjxFRE/fYsOH/YBueZ5yN09ytBJTruWnYdhkQdwvadwDmDgbyLKDp8PWHco8MHGW5Gqv6mbKoGl66YwqdamRkdqsTMlW/KouPY08NQ/d2H5gBZXDtixlaEnH5OvVFzZr6Lgz8dtvjK5sKNXXCDX9Fx9+UrUVEePCKvTVQLPLN6RL03LqLj6+l3m4Njce3Izt3Rd+pci6MyHAmQgDcCFB3q46Lpi46TTCLnz0Dr0zYGj+hw667IJ5cgvDS4RMeJ5o1JxLN/aIV1FB0+HzCKDooO9XffQNSg6AgEVZ8xKTpsxR3wzUgDdTd6lq5QdFhHn6LDOpb+ItkpOvbu3Ytjx46hW7du/poVVH8vKirS2sN2B1W3NMrGUHSodxtFhzozqWHN0hU3CUPRYawjgqQWRQdFR3AMRYoOW/uBosNW3BQd9uIGMzrsA86MDv+sRXQUFBTgmmuu8V84iErs3LkTO3bswGWXXRZErfLflG+++QZHjhzBoEH175/lPxJLWEWAokOdJEWHOjOKDmPMpBb36DDOTndN7tGhG5XPgtyjwzxDlQjco0OFlvmy3KPDPEOVCAHP6GgVhZa3ZyPs3OFAeCs4D+1B1eonUbVmvkozTykbaNER3bkdLvndIHSK7YjQkBAc3HsYG1Zuxvef7jTV7kBndHSNjcKd0y9Ar/4dEBoagp+KjuCNxd8i752aX+6NvOwQHRExXdHj5nvQ+qyzERISimP79qDk/Rz88vn/jDRZq2N3RgdFh+GuUq5I0aGMLOAVKDrUEVN0qDOj6DDGjKLDODelmhQdSri8FqboMM9QJQJFhwot82UpOswzVIkQaNHR4rq/ICwhTZMbxz9fipa3vYyQjmeh4sWbUb1znUpT65QNtOi4Iu1ixJzTCZ+99hUO/3wEl942GMcrq/Gfxz8w3GapGGjRcd/sQeg78DQs+9sm7N19FGkzLkTlsWr86baPDLfbDtHRc+wDaHt2HH5882VU/LIXPW65B9VVlfh23jTD7abo8I+OGR3+GbGEPgIUHfo4uZei6FBnRtFhjBlFh3FuSjUpOpRwUXSYx2U6AkWHaYRKASg6lHCZLhxw0XHTQsjpKBWLU7S2tkiehbDBqaj4992o3uow3P5Ai45h9wzFsSMVyMter7XxkrGDcEav0/D6Y+8bbrMdomPCnwfjyMFKLPnzl1o775p+IXqf3wHTfrvGcLvtEB2xd/wBsqHprlcXa+3s8dt70KbnOdjyxEOG203R4R8dRYd/RiyhjwBFhz5O7qUoOtSZSQ3u0WGMG5euGOOmVIuiQwkXRYd5XKYjUHSYRqgUgKJDCZfpwoEWHZ4NbHnv25r4OPa3K4Bjhwy3P9Ciw71hLSLCMWLylZDjaj9Y9InhNtshOtwbF9E6HNP+fglK95Vj/v99arjddogO98aFtYrEORNmovLgfnz/gvFTUyg6/Hc5RYd/RiyhjwBFhz5OFB1BcrysW0fw1BX1sRtMNbgZqY/e4PGyNg9TbkZqK3BuRmorbm5GqgN3i19nIOySe1H17ixUfbRARw3fRewUHZfdMQRd+p6Btf/egB0bfjTV7kAvXXFv3D2PxqP/kNPx0pNf44sPiw23227RcdaY+xDVZwCKcpag9Gvjy5soOvx3OUWHf0YsoY8ARYc+Ts1VdKjT8V3D6owOK9uGli1RNns+pqastjSsFcGY0WEFRT8xmNFhHjL36DDPUCUCMzpUaJkvy4wO8wxVItiV0RF+6e8RPuJRHN/4FiqX3a3SRK9l7RIdg64/D30ujcWWj77Hhrc3m263XaLjxvvicOVvzsIHrxXijRe+NdVuO0VHl5G/xWlDk7D3f++j5L0cU+2m6PCPj6LDPyOW0EeAokMfJ4oOdU6eNSg6jDGk6DDGTakWRYcSLq+FKTrMM1SJQNGhQst8WYoO8wxVItghOsL6jUCLm59B9baPUfHy7SrN81nWDtHR9/JeuGBkP2zL244v3txoSbvtEB1JKT1x/bg++O9bu/Das1tMt9su0dEp8WrEXDsav3z2IXavfMV0uyk6/COk6PDPiCX0EaDo0MeJokOdE0WHeWYSgaLDGo71RqHoMA+ZosM8Q5UIFB0qtMyXpegwz1AlQqBFh0tyOPduwzHZkNTEvhzu9xVo0SGSI35UfxRtKsF//2F8+YRnXwRadIjkuOHec/F1/k94/tEClaHgs6wdokMkR+cRN+Hglg3YsfRZS9pN0eEfI0WHf0YsoY8ARYc+ThQd6pwoOswzo+iwhqHfKBQdfhH5LUDR4ReRpQUoOizF6TcYRYdfRJYWCLToaHHrYoQnpJ3S5qr8LFQuG2f4XgItOq79w+Xavhzur+qqanz13rcoeGuT4XYHWnQ8vCgB/YacXqd9VZXVWPnSNqz4+zeG2m2H6Oh933RE9TmvTvucx6uwZ/V/UPzOckPtpujwj42iwz8jltBHgKJDHyeKDnVOFB3mmVF0WMPQbxSKDr+I/Bag6PCLyNICFB2W4vQbjKLDLyJLCwRadFjaWLdggRYdgWp3oEVHINpth+gIRLv1iI6vD5VhxZ79pi/f4tABtCr9BYe69TQdSwI8ek7XeuMc3/4TqkvMt3vXoV9woPwI+nfqZrrdLRP6+o1R/cOHwNFf/JbzV+Dbn46hoqoa53WO8FfU79/DBoz2W4YF/BOg6PDPyLNEczpeVp2O7xrco8MYTS5dMcZNqRZFhxIur4UpOswzVIlA0aFCy3xZig7zDFUiUHSo0DJflqLDPEO9EfSKjvP/ZzxDR29bVMpd26k93h1yjl/RUf7GWpWwAS0b1vNMRPzmYr/XENFx/LMX/Jazq0Do2cMQNsR4Zpld7WwM16HoUO8lig51ZlKDosMYN4oOY9yUalF0KOGi6DCPy3QEig7TCJUCUHQo4TJdmKLDNEKlABQdSrhMFaboMIVPqTJFhxKuJlmYokO9Wyk61JlRdBhjJrUoOoyz012TokM3Kp8FmdFhnqFKBIoOFVrmy1J0mGeoEoGiQ4WW+bIUHeYZ6o1A0aGXlPlyFB3mGTb2CBQd6j1I0aHOjKLDGDOKDuPclGpSdCjh8lqYosM8Q5UIFB0qtMyXpegwz1AlAkWHCi3zZSk6zDPUG4GiQy8p8+UoOswzbOwRKDrUe5CiQ50ZRYcxZhQdxrkp1aToUMJF0WEel+kIFB2mESoFoOhQwmW6MEWHaYRKASg6lHCZKkzRYQqfUmWKDiVcTbIwRYd6t1J0qDOj6DDGjKLDODelmhQdSrgoOszjMh2BosM0QqUAFB1KuEwXpugwjVApAEWHEi5ThSk6TOFTqkzRoYSrSRam6FDvVooOdWYUHcaYUXQY56ZUk6JDCRdFh3lcpiNQdJhGqBSAokMJl+nCFB2mESoFoOhQwmWqMEWHKXxKlSk6lHA1ycIUHerdStGhzoyiwxgzig7j3JRqUnQo4aLoMI/LdASKDtMIlQJQdCjhMl2YosM0QqUAFB1KuEwVpugwhU+pMkWHEq4mWZiiQ71bKTrUmVF0GGNG0eGFm9PpxJtvvomZM2fi4MGDeOSRR5CWlobw8HDDlCk6DKM7UZGbkZpnqBKBokOFlvmyFB3mGapEoOhQoWW+LEWHeYZ6I1B06CVlvhxFh3mGjT0CRYd6D1J0qDOj6DDGjKLDC7cdO3bgsccew6xZs9C+fXs8/PDDmugYNGiQYcoUHYbRUXSYR2coAkWHIWyGK1F0GEZnqCJFhyFshitRdBhGp1yRokMZmeEKFB2G0TWZihQd6l35/+3dC5ReVXUH8B0fCK3aYLFNWkGi2ILFaqK1JsUqwReJ1JoUWhNAIL6AaAsJVHloiwkqJtDaROojYLEJFkywUiI+CG3BBIsmUNG0RRmWUpNWKrGoxAek63eTE26mM5kHM9+937DPWrPymPt999z/Ofecvf/7v/dJomPomCXRMTzMkujoA7cvfvGLsW7dujj//POr365cubL6c+7cucNGOYmOYUOXRMcjh25Y35BEx7BgG/aHkugYNnTD+mASHcOCbdgfSqJj2NAN+YNJdAwZsmF/IImOYUM3Zj6YRMfQhzKJjqFjlkTH8DBLoiOJjn5nzj3bHooD333/8GfWCH8yU1dGGNABvi6Jjs7inURHZ/FOoqOzeCfR0Tm8k+joHNZJdHQO67beKYmOoY9MEh1DxyyJjuFhlkTHCBMdX/va12LmzJn/71t3xLjhj9AofHJc7BjwWx/c0a4+6/Bjx+293+MefHDA52righ2PfezebzvwcDTR7Rho2u6Ih5rp1wB3HReP2esVD7UU78cM8Mq1bR0pIA+0nox7sJ2A73js3gEft6Ol68m4va8nO9o4wceNi3EDzO+HWricPGbvS0nEDnO7hfN73N473s6ZHTHAThkDmACN7EeDMZXG7Wjf5N7Rxxy5++67G8Gwm2+aRMfQRy+JjqFjlkTH8DBLomOEiY7hD0N+MhFIBBKBRCARSAQSgUQgEUgEugWBJDqGPlJJdAwdsyQ6hodZEh194DYaxUiHPzz5yUQgEUgEEoFEIBFIBBKBRCARaBsCSXQMfUSS6Bg6Zkl0DA+zJDr6wG00jpcd/vDkJxOBRCARSAQSgUQgEUgEEoFEoG0IJNEx9BFJomPomCXRMTzMkugYPm75yb0g8NBDD8W4Kie7fXU+cuASgUQgEUgEEoFEYHgI5P4+PNzyU2MTgSQ6hj6uSXQMHbO2Ex3jnrBP/OiCi+PsWTcM7+FG8VNHzjo4Tnr7b47iHZr56jvuuCOe/OQnx7gdJBrZOobAgw8+GH/xF38RkydPjunTp3fsvnmjRCAR6B+Bu+66K3p6euKoo45KmEYZgR/96Efx7ne/O0488cQ47LDDRvlu+fWJQOcQyP29c1jnnboDgSQ6hj5OSXQMHbMkOoaHmU8l0TF87PKT/SCwefPmuPjii+Oiiy6K/fffv9U44cFuvPHGeN/73hf/+7//Gy95yUvi7LPPjqc85Smt7nd2LhEYLALm+J//+Z/HP//zP8fHP/7x+NVf/dXBfjSvGyYCsP7MZz4Tf/ZnfxZPeMIThvkt+bFEoH0IdNP+3j70skejhcDf/u3fxpe//OXR+vp+v/f277T1DKOICU8Z6NiojsNV3XDfx46LBx74ZjM3H8Rdn/rDp0T86MeDuLKBSx7/0wZuOrhb/vgpE+LeLQ8M7uIOX3XQs57c4TtGFfB60pOeNGr3HROKjp/97Gdx//33x7777hv77bffqIE10l/MsfrABz4QBxxwQMydO3ekv35Ev++LX/xi3HDDDbFgwYIK4+uvvz5+7dd+LQ455JARvU9+2Z4ImNvf/OY34+d+7ufiaU97WtekOf34xz+Or371qzF+/Ph45jOf2TX9vuKKK+Kf/umf4tnPfnb8yZ/8STx2oCOPc8I+IgR+8IMfxLve9a7quPFuUrbp909/+tP4hV/4hXjMgGerPiKIHnUfpqiyNz7jGc+onl0KyPe///14/OMfH0984hO7Bo9u2t/roD7wwAOxffv2yvB83OMe1zV4d2u/Ow3wfffdF9R02RKBRCARaAMCv/zLvzyqe03XEx333HNPFQ0E1G233ValgzzrWc9qw9gNqg//+Z//GW9/+9srRuvggw8e1GeauOg973lP/O7v/m78zu/8ThO3f1Tc8/bbb4+f//mf300e/dd//Vecd955ceCBB8a3v/3tal6feeaZo7ogDBVo/WI4/eZvPpzXh3Q0XxjJX/nKV+Kcc85p3bzhhPzHf/xHpUh66lOfuvuxP//5z1f//7WvfS3e8pa37PFcQ8Umr+8fAQTeRz7ykbjpppuqdc86/pd/+ZetUrb98Ic/jI0bN8ZznvOcirDTpCRceeWVcfPNN8dPfvKTKuXGO5mE2MjN9mXLlsUxxxwTT3/602Pbtm1x4YUXVmQS4rSNa8nenrxb9vfyDJ/73Oeq+Y3AQzBRcLYxeCToQnF36KGHVl3vln6P3FuS35QIJAKJQCIwGAS6kujgpNx5553xi7/4i/GhD30ojj766Hjuc58bH/3oR6Mce9uGSARj/t/+7d8qB5UsW783bNgQixcvjv/5n/+pIsZ/+Id/GJ/+9Ker6xYuXNgKg1m/OXqils973vMq55vj+oIXvCBe/vKX7zGvXENJ0xa8OdndFvn7zne+E5/61Kcqp+pP//RPdxN1l1xySRx++OEV5sZEitNv/MZvxGte85rBvNsduebv/u7vKmevEB0WlLe97W3xjne8o+r3v/7rv8Zf//Vfx3vf+96qGFBb2n//93/HG9/4xuo9pKqaMmVK1TX9pVZ60YtelCkVozhY3/jGNyqiA0lt/Wibsk2tFnOYw/3a1762WgM16+InP/nJOPfcc4MTa80+//zzkxAbobnCuf6Xf/mXqnaVPXPFihXxK7/yK/GqV72qei9hb11sy1pinugLVaZmHzenEXfW6TPOOCOuu+66Vu3vvYeK+u7f//3fK9LXe2hua+yT173udfGKV7xihEZ35L7m7rvvrkhRhMyWLVuqOdEN/R45BPKbEoFEIBFIBAaDQNcRHaJs2PwvfOELlUMl6o1IEA38rd/6raqOxOzZsyv1QVNNlHvr1q2VkypCrLAhQ9nmzLgXlRIFtzGrCcDAYDC/6U1vqsiEJhs8KUw4rtIlkDCw/d73vlfVLeBslwiPsWDkv/nNb45f//Vfb7Lbccstt1QEEsJr/fr1FZZIpG440Wb58uWVbH/ixInBASzpHp7nyCOP3K2G4IQjFkj999lnn0bxLjeX6yvyyukjNTfPzRHzYdasWVUEXB0azkob0rNE4hGOL37xi+Pv//7vq/cTWceYP+6446rnQJh6HxctWlSRNW009Fsx+EPsRD3dA1HNibX+zlSgHwAAIABJREFUWU/aFvleuXJlNXcVSrWer1q1qtpvEGNUBvfee2+sW7euWifVGWk68m1eW6N/7/d+b4ij0r7L7ZOXXXZZRTQxUKTsfeITn6j2yW9961vVOtOGtQRy//iP/xgHHXRQ1Sd7OkIXuWEdtIYgU6V4tmV/7z3a8LTHS/v4oz/6o0AAI5jYKQJIV111VfVMv/RLv9SqieLdtE5LMfRjznRDv1sFYnYmEUgEEoFHAQJdQ3RwqkVPyMzf8IY3VEZQSaMQMRaRfeELXxhr1qwJefaUHtJZmmiMdikHHCV5rtdcc00VFWRUUJwwfDi3ohE2bBEgaTf63aTBzAHkpHKuYanJjRaxItP2THXHTySIM84ZaLJWByPnr/7qryrSBUlgrpA69ye5lVsPc86uSGHTDcYime9///v3SPeQJ42401eKGdFCDpdxaIro6C0Z5uQxiqk6RGIZ+YgPc9/PhAkTKie2vA9NF/hEFklvW7p0aYUhUg/BoS4HY59j4t3UX+9qubYNxYI53GT8SFTKH6qTvppn9D4gmEazwFN/743UHyTGO9/5zsrh6yvdAzmK8EVIIgtc4/3VX0WOm04FQeBJoZg0aVLMmTMn/uZv/qYiz5Fe1nFr9VlnnVXNmXnz5lXkuuh3U8RqecekQOo77L2H/k2V17u1bQ3Uv02bNlUEkv3HmidwQRVBEWH/sYfeeuut1RpT1pym127rtv6pQ2TuqmX10pe+NJYsWVKpPNgs/u6daHp/r2NlDpc9RSADsUQhq9C4fUg6lkCHdxFJrTZXG1Sb9kSkl3lhPSzrs/Wizf1uep7m/ROBRCAReLQi0DVER91ZYsjVUz1s1BxczvnHPvaxyuDkeDVZxV9EkNF2+umnV04Vo7NETBjQDAnt1FNPrWoBIG046MiPphqjnVqA4d6XQoO8Vb/9npMll1f74z/+444bQaKq5sHLXvayyrgUXeUolcaQo+xgHNfnAQLMWDBGGW5tMN76S/cQ7UbiIW3gTYFApdJknZS6ZBhBgxBAOjKGOeD+TalkTES/RcE5f8YD8djJd5ITgsD48Ic/XJFe5rboK3k2Ix5hqoaI3yP49JnBr+ChVC0KG1FyJEfTBSdFWvWRk1eckd6RVoa/tcV4IHE8YxMNacG5kz/PIekv3UOKGaIU0UR+zok54YQTKrybIgwKXpxX64kfa4i1DwntRyE//eb8UVLAGgGM1Guy2XMolBC4xx9/fJXeiWy0/9QJxratgUh+pJx57T2z5llbvIPmOLWeNdL+iUBDTgtslHSiJjF3b2Sv1ENzQjNHTjnllGq9Q6QibI499thq3jS5v9dxUtNCv60V5gj1BiIP7sgNRKT0G4WwkXjqRDX5TrJNkFvmN7tq/vz5FQFZUt5e/epXt7LfTc/NvH8ikAgkAo92BFpNdKhdIErMWLbJcvQQHKKAnKlSLPC73/1uZVirYyCv1KbcVKNyWLt2bSUHFcW59NJLq0hJiWjbsDlWDGjRKTU7RLCmTp3aUUNCP6lfGL0k5RxoTqmIMYNHuk1p+lxScDgj1157bWVscLh/+7d/uxEn0Jhffvnl1XgrUod0YWhynjirihyKWpojnochSpkiNcg1TRdYq58UxFHqL93DuIh0IhimTZvW+JGnvSXD5vEFF1ywO0fdfEIQcLZE7EW9y+kJnXwn4aVfCklyOrxr5rAIt7lTCgCTxdejx9YX7wBSRJS26YbMQ+IdccQRVf0QpAC1hsK1jnj2znoXEbycE3OexL9JpwRmjtYUYYWlud5fuoex+Id/+IdK5VbIx6YwN2eo76gGpYAgX/Tfc/g/UnkN0etIXMc0cmBd2wbCFFHw1re+tepfSd1Efkip4Bi2bQ2EJcfaOsG5RkLCGCHgOZAa/u55kB/IJvPdO91kQ7xYR/SdbaKvyAKYIzWsJwgE76V9yby2xzcxR9SsQnhSPNgTBYTgZ//XTwSH/6vXUbJWIhDs769//esb3yuNNXsKWX7aaadV72VZv+3l5e/Wkrb1u8l5mvdOBBKBRCARiCpQwv8bt0PeQssaA40BJL+VwoAhZ1PjvJKytkkKWqBjnHEGGQgixJwrBoUiaogbhhppPMklB4wj2OnIlEFHCii0J1rDEYGz/pgGiBjEUSn4Vk7REMFE2rShMYA5fOYCA1LfROgRGeaJqLznZPiIFjI64dxUOlMdM3VQONIiwEgMfWfktzXdo/d4l/QP5IwxYBCXOhbeSYYz58872lSKjYglZ1REmIpE7RP1Tbxv+kT+TFZu3otcImxc22RqDedDnyghvJOcDySeNASEjHktOn/yySdXMnnqKuuhU0s8HxVbp50pqh2R4RkzZlQ4czaQ0Ppn/VYzx5pHbdK2dI/6vDan9Y8jZW4gNjjY1nPN2uLZENYc8zackIWANkcUYkT4wpmKzby35xgP5ECphcJBbMMaaF2wRyKbzR97kfWQ2qG+5yPspGj5aboGVJkrMLTmee8QCEWFWRQ/1hB1OxAdggWerX6qUyf3Tljqxytf+cqqxob5ULeZSqFoyhlEaZuOuWeHCMCYr1Q+CDtrSqlBU4JebENEaZuKuXdyjPNeiUCnENh2x6pYdMGyWHP1xFj07dUx52k777z9tuUx74RFseqOrTHpRfNiwaXL4vTn7dupbuV9EoEBEWgV0cG4RwiIlDEkGT8M/UIW2Kj9ffXq1VWUjSKBjLUNzmtBmvPH6ZMXXaImZM0c8ELS1I/iHHCERuECkcvejp1IvOKpFBqMZM4WaSgjQ3SWQS262WlSpr/HZwghjBS8lDaBVKLwQNCUoyClLXB4OYqdTJkYaMhIcBVQo9DQR8/hR1+bTvfoq++9I5icqg9+8IOVYSyKyZgmHYaxZ6CkaMq4L/3nBCIxRNyRSOaAeU9tglCyZpQCgc9//vOrflMVqMnQVJMmo89SqxSnhWdxZBn5nCnFAeEtLQGJJ6VJukcnU2uoukTepXRwRhFFavRQkSCTrOOKRdadViertC3dwxqCpPEMVHgUMlQ8UiGtJwhfzrd1G+aKXsPd3Gny1A/4crA51OYFFYH+cQI9AzLG/LEPURQURUenVT5q3JgbJdVOv5EuV199dUWC/v7v/36lQrLP63tRoVDkff3rX6/mS0n36OT83tv77x1kfyBfSh2ZctKXYt2FFOs01n31meIE8SI1yJ6DWK+f3FXq4jjJi+JEPSiKMSqJTjVzgmLNHC51kLxj7BN7oTUQuetZ6sXQBQsQkWwVChXzqYl6RJ3CKe+TCDSJwPZbFsf0M7bE/EsXxaznjY/dNMb2dXHepPNiv6vXxrlHjI9tNy+OGcc+EIt6FsX05DqaHLK8dw2BVhEdWHobGiNZhJIByqC0mSELSEBtdnK+Rd6ajqrViRk5wxxA0mfNJqyJ2DOcRd0YnDbjTjuB7qsVQ4KBX5cIq1OAIKAyKXUJOIYcL46faCypLgesU42jyuDaW4RagUDHECKOPBMnC0nG8WOQUnGYO+ZRk43kVtRJShWpMMONQ+U4WU3dBXPCODWZ7tEXRv1FMOunZMCXY8jw59S0hQwTseRIMYRLFB6hoa/mNwKH04LA44g33fRXP71n3kfz3/wtRTC9Exws80Y6ELK3KZKX6oEjiyyyPpRTMpDPWjkVA94lZUgh27ake0ilQQJwxKV1IO3MdeSGfxsLJAj8OYCcL+qxph3uciqW2gkUBfZDa4f1zpzhyKrnYt4jgNUwUrOqiVS93oS68bcfUiKpn0Nph4Sk+kFqIPnMeU65ej+UbkjIppo9xdhbHzjS3j0pphRL/s7+cI31nDrSuwh7hFgbiA7rhT0FKV3WEGNSlIPWPPPFnq8IcxNrIPzqNZMQW9Zm7xocBVnME+S5uY74UKulqDi8j2yTppSDTc3NvG8i0DkEemLFjPkRH7gu5h3S6663LI5xF02Ku9bMiZ0hop5YNWta9JyzJc5t9gDJzsGTd2o9Aq0iOmxoJNDUBKWJOiA9bHwiif5kRHdaot3XSCpYJ+qgP9dff3117K3CnDZepIeoPWNarQ6bM2l5Ew3JwqFjUCBkNDJsfWUIMYY5q070YMCJBjLUSOUZpKKanTTwi3GGAGDM1wklihOGMmeaA6UhwUpjaDL6SXUZSp3stz4Uib7x10dONedO0VnOExmxP0XaFI6kIjCHGPeeV3+bNtoYyAxOpFxPT0+fEUx9NOfbLBm2djDkOVPF8dZfMu1yko01RZpTU43qi0NtIaaQMG+tH6U4IAfbM3C2OLTeRxFkY9PpuV3HqJ5GaJ0rdU4oO6iTzG8ktXQ9KXEInCaP/C59N7cRRRR2nCcpEU6N0sjjkQOi20VFqLCk+iidbr3JafdH5CLnkEuc6np0vjiMUgsp8b70pS9VCr2mo9ylKLe0GvsLwoUKrzKJe3oqcp3jzQG3P9mHrIMIMmlk9VpRozkGhYxG1uqfd019HMQddYE9qBSm9c7aTznk9lHj4u9NkEm9MSlqCO8dkgi2yLxSSBehp7/WE/gimIpNMJr47u277dklJcx89V4qxE2ZaV6zX5DV3kPBDXaWd1bxeXPG2tIWcr0pDPO+icCoIXD3qph9wvqYMrUnVrx/bfQcMiMWXLwslhwzKbZePTcmfnV+7Lhg6q7bb41Vx02MnjN3xLl9Hwo3at3ML04E+kOgMaKDWgCxIVWF7J2DreCUqEJxSrD58o05tjY8P00a90BkKFNoIGQ4epxs/RJdLTUvGE0l8mrDbpqYgatoJcONnFldDjj2rmPAaBOd8jvGQ1MOIMcfiVQcEGQRp5WsltGjXgFMEQYihOqhtKVxRDnPiDhkAKeVnFyaiigsJxW5wRFknEk9+MIXvlClYLmu6cbplgJUTlERvTS3+4pgimi2XTJcjyor1Mmwp/hpyummpEJ4Ur5YSxj4osTUVuaMIq4W5XJsImO/FMFUJ6INkeIyR+unTVAacJ7Md44IMgGpR5buT9L0Jp2RUiRaiop9RZRbdLioIOBvfZRGwakqx3431ee+yGlObDmJBCHWWzFBBaEGg5O+mup37/WrpC/Zw619Uq+8g7C3ziMIOOPwt3ZSdHpO5LC1pxOKJemDCBkKEkEJ80MQgG2CaEdAapSkUm/0lwoS1oIyauY0rRrUP+lMsDX+1m+qpZLGWdYQ6UIISMoZa0lb1hNqXvjC3Ttory9H3Bsba6PC3MUGQ7SaI55TEKktz9H0/p33TwRGHAGqjanXxblr18SioydE3L0q5k5dGdNvui5m3jo7Jn5jYew4P4mOEcc9v3DEEGiE6GB02pBFLTl65KGkiCTD2HwRK3mj5NEMtlKAasSeehBfxOkXZSdlFvEQEWGIMcwYPjZiDjiDVASI9BMx4LhBDmvTUfn6IzLKnO4inYZhzyhg1GmMSUQTFYfWBkIJzmTx+sKQ4WgjMyh7GJeMZ2QTjEWnRAtLvvQghnbELtE/CgGEl4asYPiKVJYTJ/yekV8KdCL4GM8UHpxBDiKnl+PSdONkiBJ7/zgenD24IsTaGsEcDGYMZYY+iTylTZMpb0gw7x/D3Xy2viAHrInqEuibOS9Sae3jdFMmGYemj6akVkJmcKgRX1QRJbUG4VvS4azjTssqxGobCkn2LhJtv+GwWuOpIAq5LvrtHbX/NKka7IucNm96k151xUQbnL36qWNIdY61vYdCBqln/zG//T+CF9bSUPXdvLLnWysFDTpR+Nqax7G2D/ZOKUXYIfPs+d4/xIzr2C6d6Ntg1jZkqTWFEsKzCFSo11KUPH5fyPeiOjEOhQAZzD1G4xokXTlVxyl6ghdq4djn7ev2T8EWhBjS1x5a1m1BEGRUk6e+jQYm+Z2JQCsRQHRcPCm2XDUnygHqG945LpY9Z0ssjQWp6GjloGWn6gh0lOgoRyXazESmGMk2XA4VgoNhxIDw/xzdk046qfrpZCHJIkt1hKoTGtSAYOwgNRj5fkQoGfYMM5tzIWYQNtImpNe0wegsAw1LBjIjjbPCyWZslnzuEj0uNTyafEWQGBwMOJKpFuUDQ5lSxtwhJxZ58xyey/F+yINONkQYksvcRXL5k8NK6SPCpDK/PvWOwlOgUCnVi9l1st+970XloOAlcq5ImcsJCK6FOSPfaSBti2AOFjeRToomdVGafi85HUg6NTasdxRfVAbSJaRlmRvWQqQGJ1afEWidVLKR6YuuOvVAUWWEC3m59UJagWgqR8S76X0tsnjvbf2UrMGOTyeuqxeJ9nyFoPF8bTpJpWDRHzlNFWFf4gSWk8hcSwnUJDGj39ZABJ2il9IhHWdrflAYIJXsmdRL9lYpfdJS7KWd3N97zzXkANLfHoJQtFcinwUtvKPWQoEN76e0IQVgzfEmiPXefS/qOzU2EHQIGPuOIAwSUrNmW0NKQdhOvGsD3YNih80Bd/aW9cN+aJ0ue77nQXpZ9yjwmiSnB3qe/H0iMKYR+MaKOOrYbbFk04KYvOtBC9GxctKKmHjhpFhfq9Gx4hXTYuuFWaNjTM+JLnu4USE6RD4QAyShCqFRbnBIy1GJHGobG0dV5Exj1GslstYUjox40QNRhiKdJAFlGMvRVYSxfua8iD3HhEN4/PHHt+bc+Tp+jE0OihxiDpQImuixGhEibBzcpnO5GTkMN9EaBqc+cgJJ3l/zmtdUThZDWYRbv+Ft/mgMuU46gu4pbUb0jMFWCCLEFyeE4+T/igNlTum/qBUjmoPYCUn23t4hDneRLnM6kEfw5sDWj4slD1Z3gfIq2/AQgLWFVlM3wdzt6zhbDjhn5Q/+4A92r4vDu+PwP1WKXSrwi6ijLEDMWNORdJwoztTtt99ekWMcxPoRrNbKTtf06f20fakK1IcwDoV49P6a69Invbec804Xid7bKO2NnK4XSm2a3Kg/gzlSr69gHJDrbABzCdbWwTYQ6vV+IzA42+oSUX3Z92FsHrNHrPOCGEhsirAm0lQQMpdeemnl9OsXNaF9xL5u7/aOIq1nzpxZ/b9xkJ6iXg5ipg2KwYI5W69eq4X6i2IQqWQ/ZRPa87MlAolAGxBQd2NyXHfM+lhxwqTYt5a6Mu9pfZy68taIpRvOjanN13dvA3jZhxYgMKJER10NYQPm2DHcRS450/WjEuVuy8sU6WGsUUqIhBfio0lsONyOwGOUiTaROTPsSUI5hzZjz6O/3dBIWzndUoBE/kpU2/97vqaj3CWPW+0QTrU5gQhjDJUK8epbyN9lMCNB5Os22e++Cl2aCwgDJBIDn5N46623ViQZrBmiTTuBCCVqGHOao6pWRT3CLUqM6FMfhYTYe8opb/I4zW54x0ofScWpX6QwifpaE617CASkKKLAulFSDpB11hnvANWJd7Spuc150hfR60LycrCMfSlOzOlTk4BzZZ5QtIkot+W0if5UBRxWjhS8qfQQ8Ug8pFI5IatN82xv5DSnHDHT6fQJc9ucLmmZ5rZ1BI5UR7CkNDEnyjHNJYChQKr93ryiJmx7o9izhlOedhrnOjbSZ9ga1mWkBTzt5Wo++VOKDxVEqQ9mPxdQEljy3grYOO2rqVZOrkGOmrPmB8JU2h4b0bpSTwlCNuk/pU8bVDNN4Zb3TQRahcC2TbH8tLmx6MrNEYfPiYWXLo8FR4yvurj9tuUx/9SlseKWnpj0otPj3MuXxLxDk+Vo1fg9yjszokQHgsAGS75ackA5etIORBXqRyXaAEm2XSsaLxLOwG7SeS1zoTh+oiDOoKcikI5SqqpTdTAyOOGMkG5oDDZObZskrAU3aSqK1CGSkF6ca3OGY+JIOcaPOhzIAq0N1e31o37EapHWehYRbuoIjbHs1AmR/E63er0VfycZ5uCRZCMUvavldAz9LikI3kf4c2Yd6dyWwoadxm8492O0q0nA8UNuIAMQveaAkxDKuoGwI90upzNJSVCIucm5zZH1znH8+6qrUX9PzSVrN6WPKHOnFVX9jc3eVAUcv3qRaLWXOOpNpiL0Jg/Kc7WRnFak2LqBrLCeUNYhbkXfpRqYMwp4UiyZ9+YEpYE9pxBnw3mnOvEZah9EIxLGswl0eF+bqv9UnlktCwoY8xqJLuBiDREQsMcU1Yy5TZmnz8cee2wnIBvUPdhPn/3sZ6t1jkqGKsX7hjA1RxRmtpYgcOz/TaYxDeqB8qJEIBFIBBKBrkJgRIkOm65NWIoB457xoNibfFcRtd5HJbYZKUa9jVhqR1/HwjKKpB+0xcAfCMtSQZ78tpOtr+KmvQuRcfAQMX4YdcV401fRV1EtEas2GkEMNIZ9cZYYcwqkchhFPktBz05iXu51zTXXVH0jZ2bAM5QVy1VbBOYcVccNejeRSRQzHJK2ne7RBHaP5J4IDgVq4Wou+HeJXso7l5agrg/HRHqfCDiZedOt1EpCiNaP9eSMI75EkUniFdFFlkn9aDoFS9/sMVILpNEgL5AZfakK6mmR1hj1C5B5nVDmmQPIi6c//enVMFNWwc8c8Awcag5qnehvGzltLVcEksIBwWGvV7/C2oKcNocVtkaIUG9Y/zwT4qxNKTZ9vWcUHBxtajf9pi5ETja953gnEdKOcKbGVBhaQEnQCNHORoEx4lRx106dVLO3tcq7xX4qBeWl+rChrB2CRlQmbADvqWvNJ/WtpKxmSwQSgUQgEUgERhKBESU6dIwhxICjgCDZVmNBsUaGDkOprUcl9gZVXzmCfRWUHMkB6NR3NeVwc6wZ86LX5kBfhcg4fYowUtCIDiuC6Hp/OgaybTnd9TEjMS+Ref3nnJj7fZFjnRrrch9YK+aL6OBoc7TqxSIZyvquWCDnG94M/DbVKug0ZsO9H1KXKoPjzHhnxEtB4aDAvEQv1WvhhJsjjP42HJldf2YFo50Eg+At6Uqey7w2V7yL5TmbJHnhJp2NIkOakPdN+iNyFHHQn6rA2HgWkXFrjVSh0XLCKQNvuummeP7zn1+dxOTf/q5RfcFXugeSUXqYd6+uuGuKnN7bO1COATWnYYhkgr9TuyiZYInYkKZXThca7jvVxOeMBRK4ybntudWNYSshwJACpWC4viEznFqDkKT0UGOE6k4x4yYVYWW86muctcL+QhlI1SGNRuACaarP3kfPlC0RSAQSgUQgERgNBEac6CgEwZe+9KVKFn/QQQft0W+RLAZf00clDgZMeef1CveD+UxesycCxrscG6cSfH+FyFwj4uMEAcaaaKEK947ubUPdlr2NqwibaKACjhzcNlSI9x4q8obAkBMtAig6WY8IckrkQzsdwekTigaPltM3lt8L0WBHN8ISjlKAOOGlaDHygCKijAF5ufWvjSlBJW2P86quAocPee1ZEAlt6bP5bS2BuTpQ5i2HEPbUVH7XtKqgN7GP8PV/IvOwpHwUCNC8q0gbfS+1CZoip+vvKkeUEkyaKacbcVdfzxF8fswTtTpKKstYft9H89nKmPuz1AJDmNbVd1SD1ptyJKs/m26KEFOUFOWlNY9iSj+l2JSTa5zmRGmIKGtaLdM0Znn/RCARSAQSgdFHYMSJDl3uq3bB6D/K6NxBVJw8O4sxDh/fYvRwQjh8/RUiI3EVDUJ0iKypgcK47k2WDb8no/NJzgAni/S2yUhgKfxGUcX5dsqBKB8Hm1Ml6qqv/o3UEBHMNnwERFOtDxZRkXjjL/ec4yEdgipCqgIjH4nHCeiG02u+973vVQ6KPxWVdCQ1aXlJuxg+YkP7JLWUH2kyWu+UNwqqukKJc8ipUjOCcqINqgJkeTl9qRylaR2k9PA8JaWJ1P9jH/tYRXS0KcKtRhLyohQWN7/vvffe3ceAWtsVmLRmd0uaytBmYeeuZjdRG3n3zO16LTC9QDB5DxHp3gt7TdMBI2uD90ytsvq+Ui9wLQCg34JfFExSV5o4uaZzI5l3SgQSgUQgEWgLAqNCdHg40bRy4kRGidsy3J3rhygfNYf6LBwQRpDoJckqw7i/QmSiVX7PaSfn7gbHsHOo7v1OomXkzggisnGRYVEzEflytKPx4JxTHEhpaZKYaQtuA/VDys9ll11WycVLscJyPLNUDooZqQh+19s5KcVHOS7WwTYUWx7oef3e+4d09B53+qSg+uld1gmkhfkqwi19phAG1FMcLeSpOc+5grcaM21QgSEynIixfv36oGazBiIzNKfvWOecLjF16tRKgYJUasOxmkhSTrV0Qoo6xCkiw57u5CApCAiPPAZ0MG/SwNcgTGFNuVHmR6mTZF5QgHkPKH7gL9Wz6RNJzBFrHoWgdBSnqlj76kcI28sRNwrStul424FHJK9IBBKBRCARGCsIjBrRwUiWi6koaVvkzmNl0Nr+HHKGRXDkyjOCHFnp7+TaHBJGUhYiG5lR/MlPflIRSpxRDreaJtQE/i5nXvoBRYHUA0Y0J+X4448fmZs/ir6lOHmcDDhKNZCa53Sp3nWH6s4JQoQiIdfAgScLcsW8pWqg4uJgq5Gk9ZfyhtigllFEEmn3+te/viILmiaUFKv2HBQnjt8t6R6ey9+lunH+FKvlvOqzlJYmiUeENNKISkNtH8VFrdP66kSVeu0FBF8eAzrwnN7bFRRTyDvFfdXkQBKo21NXKZkbjkRGFhgD6706QE02+w2SDhmjNo79Heml3o0UG8VF7TtIEASOuaSoeLZEIBFIBBKBRKDTCIwa0dHpB8n7tQMBBj5CQ/SSweNUiU9/+tMV8cFZKUfF6m0WIntkY0buzhFxogO1gVNTOODGgBKGeoOUXxRc2kEbcv4f2RM39+m6k8dB5WD7ISMvxJ2xKA6h+jKi9ZmHPrgxMzcVQSXJp3bgPJG4U0Jo1pD+Ut5Ekks9lLakGPY+Mht5QN2BHFOro5yc0Qa1I4JJf6QT3HXXXVVxS+u1vnFWi2LGXNZ3/1YQsw0nBQ1udrXrKiopRBySQy0caYTUD2UOw3/16tXVKUKOuT3yyCMrNWTTZCliRvDqiCOOqPpuDnjfKJcEMIqS0D7k/6TqUaK0oUBqu2ZA9iYRSARaj9pOAAAQc0lEQVQSgUSgUwgk0dEppMfwfZzWIU+XqkBahLxuaScMY2SGyKYID3VHPVo1hiEZ1UeDtdMOOH7wFOErEWMyf0QHkonxzEEsOfSj2qkx+uWl7smyZcsqVRJiQ+SVAyhVCP7FIWyT89qNw1En4mDJyUN4cJSQSf2lvMHfmEgdqh8hO5oY9CYNpdAgeEXmOagcWLUWEAYUHdJqSioelaNUHIU9m1RwwEcRySuvvDLuueeemD9/fqVQQtideOKJFcnUu6ZPcdKbVsyM5tiO5ndLU7FWO4muKF6t2fXio+pYSFOhBkMWUHk03dSUue6666paRGo7ITkoTUqK2Ic+9KHqVC81tbS2nSbVNH55/0SgGQS2xeYrF8XCC1fG2ju2xqSjF8SiixfFnEP3jdi2NubvPzOW9+rYrCvuitXHbK5+t/7ijbHxjN5qrE2xdOqUWPis1bHlilkxYffnt8Xa0w6LeQeujS3vqH2mus+8GL+uJxYd+fAJS9s/vzD2+/i0Xt+x87s3nrklVh778Dc3g13edawgkETHWBnJBp6DMcMZWbduXVVAj/FL2k9FQO4s51wT6XnZy15WqQxEbDud898ANKN+SxFiEcBLLrmkIjrKsaBOoHBKgh+RwCz8NvihUDhS1LQeOXVqjXoE5jScKZUY+uayuV5UBxxCn1e0MZ3AwWPe35X1YoaIAQ2x1F/KG1WTtBdFd0e7fgGHjyOqqKiINrWPWgSO0ZRqg5CRHuaIWwSIdLFSHHjKlCmVYmWfffZ55CCNwDfAGRFNiYTc0HofMcxIuO2223afwjMCtx3zX4Gk0JBZpcHxzW9+8+7i0NboekFaaSoIBOkfins21ewrCJm6GgNpbg30O8ePU2o6PQWRh6xD8rlGAWZzKVsikAg0j0DP5TNj2o2zYu3F82LyARHb7lge816+OeZtXhYz7l4aU84eH6s/Ny92Wuq1dtvSmHLyyojnnBdr9yAzIno+PjueceKamHDhxj0Ije23LI5pp66OmLQwVq+Z8/B3+q7JC2PT0R+Nu9Y+fK+ejxwVs3+wZA8iZeuVs2PGRT2x6ZjlseOCqc0DmD0YEwgk0TEmhnF0H4ITx7B3fCBnjwHkGE1F0hg+SA0RKdFtxUadUsOIE7lCbJTTBOR1Zxs6ApyRT37yk5VcmJEpUiznuTjdHEH4MzJFkttQ0HDoT9nsJ+S+m68cD+RROWFECsKqVasqB4Rz6t8cXD9IEDUWEHmZojLy4wdrDpRaHaWYIXK16ZQ3Y45wUTfBu1bSVESzFa1Vu6Ic/6lgIxLE6UfUKZ0+uab3qFhL9AlBrZm71mVrh/75u2tK3YVcS4Y3rykcqO7Mk9mzZ1dkgDUarogARV7VuqDyeelLX1oVpLW/Wn/U9DGXmiJMpZhKgZRmisiYMGHC/9tfvIfqFpUTYjwXdVD9GO3hIZefSgQSgZFBYGusOm5ifP1tO2LREeUbt8aa0+bGllNuiNk9c2PirfPigYumx8M6i53Xbb16bkzeNCnmvidi9o5FsZtyuHdtzJ+6NuLlq+O+IzfVVBc9sWLG7Nh24fLYPnl1TH1gSUzf9aW+a+JNk+Lcm9bG/pdvjAXPcwfqj/1j7dH3xbJjxu+86Q/WxcJnrYppn5keK89+IJb0RcCMDDD5LY8yBJLoeJQN+FAfl9GrojoH2/GBJNciTyS1HD1Ehwg3o05uriNMGWgMJXnGiu+pJu/z2QZGgCqA40Tu/sxnPrPCkkEpMvyWt7ylqschAqvuBsk+J0reP0cQ8eS6F77whY0ZyQM/YXuvkJ5Cun/ttddWjgbSjvFeCjJSKJHul2KZp5xySiXRbkOdhfaiOvyewbZ3odfhf9vIfVKdCuRXOQIbySUVQTNvXvKSl1RkB3WHI4ebaOapqLuUHn1BRs+bN6864tOmT4mkHof/R9pJcZPuJvXHmmOdEdVXbLIph7sJ3Ebqnhx+6UDWZK2oIxAZpSi3NVvdC7Vpbr/99mr/hLcxsdY7lrWJZn7b5w8//PBqblj/KJHqtTiQH72b1D61iRA3WZejiZHLeyYCeyKw6ZJpMePGmbHiotNjxqG7CIVdl2x6z8RYeMD6uOGN/0/PEX636OA1Mfua02PLOYWc2B4b3j0tlhy8JGZcMze2nrMlzt1ZQiu2XTs/Drtmemy+bFqsPW5G7TNRfZf7rD5gcex/7Yy477JZMT42xdLJ8yJ2Ex8R+jrvZ8tj41nbY/G4lTH5vmUxY88u5/AmAsNCIImOYcH26PmQOhCiU2Sr5QQET//973+/AoEsWy43p49xI9+bQ5jHwg5tjnDqRIpVqVdYlOMhN5vxy9gkyVeQTpPbrWAdg1h0VivHEQ7trnl1HQGYa4rtUXCYwxw/hj9FjVQVhS+vv/766oQBqprRTpN4tI+QlA/jYhykx3WyUY5Y+4yx96uodhCRSFzpBYgwNTkQH0hGDi11EBWKNVFNl043DqmTaKwfCA2Ns+r0JTVErOOUeRQphZy+9957q+K60m6a6HOnMRrt+0njsE7D9xOf+ESldEBKUztSTCCR+lNtIKBc11Tx0TK/zRnBDP10mhFliv3dXGlScTLaY5ffnwiMHQRqNTq2T4kFFyyJRa87LPaNrbHmxIkx++P1J50Qi25FXuz83ebTdsSMDVNiydPW7lRu3LY0pp0asfzzk2Plk9bE9EJEbN8Qi6eeHvvuIi02vHtcLDu01NjY+V0b37QjFr3AdQti38vXx4KD1e1YF7OK8uOeVTH7wHUx97sfjVkHUKJMjp6zHyZSxs545JM0gUASHU2g3kX3ZPSIOJGwMpA5HqT9nA8pKaJ9IlQMIRFOudzkuE0ZaV0E7R5dhXO9iKvoGLkz56qQGSKymmv9H/JJ5JbqRt2TbI8Mga985StVvRmEBiJJPv3MmTMrQkn9B+ol5IYifE0f8fjInjQ/PRgEkI/qJXBMkV5SxZxMwkmlcqPi8H/IDekG1sPLL7+8qstwxhlnNFZEshzrSelVyBn1FKzPUtus1fpMaefkFH1WN4QCQaQ+1XeDmR17v6akdSIL1q9fX63VAgFIa4EAhNJZZ51VzZu2NfMbUYdwl4qF+ELiIfbMefPEOth0Id224Zb9SQTajMC221bFeacuiHjn5lh29OZYPO68mHDnDTHvkN693hCLxy2JST2rY9adC2O/m2bHjgsmxarjZsTX37Y+Fj1xeUw5OWLFpgWh5GjPR2bGMzbM26XUiFBnY/Ld5+2q3/Hwd805OKKqGXLnguiZtSEmnTMh1lfpKdtj3dmTYuFT18bGs3YWMd2TLGkzqtm3bkAgiY5uGKUG+yiPmLEmMkhKe+utt1YRTv9/1VVXVWkTopqMOQYRAyil/EMfMKoBTjaSqHcThVU/ggOuyv2nPvWpCvOTTz556DfKT/SLAPUSQo+D+9znPrcqKEm9IRqL3EsH8NE3eSh4OKWvetWrqsi8tCVkgZoElBzIsfrxq21ACEmqXpJUQ2mFyGm1OBClSBjkjFohHNkNGzZET09PdeJKqpNGbvQoHhWnpX6wjlBDUEcYB2NjDrWlIG3vp0aIIerUa5Eiad2jbrrxxhsrG8DpRtkSgUSgzQhsjbVnzo2eOTfE6bvSSwqBMOtxG2PLCZtj9oFfj4X1+hvlcSp1xa7fbV0Tc4/uifkXbYm510yPjR+cEXHt/Nj/MzPivg/OiPFqdjxnZizf2guL166MuxQkrX+XS6o6HEtj3zeOj8Xbd9UHoRSZvDA29Ibz/PVZkLTNU6yL+pZERxcNVlNdFSEspwyU3FuONqmzqFTTBfaawmUk7+tEiUsvvbSK+NXVMBQyHG+KDUayav6O6hVZyzzokRyBqArninQjlcrJAW0ofjmyT5nfNlQE1MjxflI9ICIV6HSMtn+rQSQlQWpNm06bkDohKk+JcvPNN1dktQLSGiIESb1x48Z49atfXZEhWUx3qLNi79dLX5I+ZI40VWtjuE9kzXN619FHHx2Ovs2WCCQC3YdAVZ9j0/xY/+E5MclpshQdJy+LiR9ZF+duXxTjPvDs2HLVnNrxsLue8ebzar9TS2NGLNk6LZZuWB1UGZsumRILn7g6bnjjxKpmx6z7l0RPvaBpdZzsrrSUL9e/a+f369eUMzdEdYztCftVBVNXvvyuuK5eK8RJLf2dCNN9Q5E9bhiBJDoaHoBuuL3UCEXtRHXkHFNzkHSLepM/Z7G6Rz6KsEUcqcVRjtP0raLFCpRypLKNLgLbt2+vJOYnnXRSq5zW0X3q/PaBEHB8bDlKmKLKWqj4MoVHW2sRlRM+OK0UBKmyG2iUR/73VGCIAkRSt7UrrriiKsysFlG2RCAR6EYEtsWG9y+MBR9eERu+MSEOO2Z2nH72ojj9iPG7j4jd86lmxcqe1TH1ptkx7Z6SeiKtZL84b+LGWH+GtJKdNTfWn/BALJm0Mma+eHMsuHNJTH9i/Zt6YsUrZse2izbGrK/OjmfcvTB2nF87KvbeNfGGp86OCTftiPMeWBiTLjks1teOna2+afu6WLhfrQ5IN8KffW4NAkl0tGYo2t2R+hGzBxxwQCV1FqlKkmPkxq1EYaUDyYcuxzw6mvKoo44auRvlN/WLAOfkyCOP3B39TqgSAQhILUNseDcpqZwuIf2gzTJ+RUkpUMp6kiPZWQSQ1NI/FOvutiZlC9GRtba6beSyv4lAIpAIJAJ1BJLoyPmQCLQEAdHXz372s5Vj4uQP1fdf+cpXVmqOjMh2ZpBEwrNWQWew7qa7IB3VtnDykdSVbmkKqX7rW9+qVB05r7tl1LKfiUAikAgkAolAIjASCCTRMRIo5nckAiOIgPzu+++/vzrlJutwjCCw+VWJwCNAQJFGZEE31bOQZig6f8ghh+QpGY9g7POjiUAikAgkAolAItB9CCTR0X1jlj1OBBKBRCARSAQSgUQgEUgEEoFEIBFIBBKBfhBIoiOnRiKQCCQCiUAikAgkAolAIpAIJAKJQCKQCIwZBJLoGDNDmQ+SCCQCiUAikAgkAolAIpAIJAKJQCKQCCQCSXTkHEgEEoFEIBFIBBKBRCARSAQSgUQgEUgEEoExg0ASHWNmKPNBEoFEIBFIBBKBRCARSAQSgUQgEUgEEoFEIImOnAOJQCKQCCQCiUAikAgkAolAIpAIJAKJQCIwZhBIomPMDGU+SCKQCCQCiUAikAgkAolAIpAIJAKJQCKQCCTRkXMgEUgEEoFEIBFIBBKBRCARSAQSgUQgEUgExgwCSXSMmaHMB0kEEoFEIBFIBBKBRCARSAQSgUQgEUgEEoEkOnIOJAKJQCKQCCQCiUAikAgkAolAIpAIJAKJwJhBIImOMTOU+SCJQCKQCCQCiUAikAgkAolAIpAIJAKJQCKQREfOgUQgEUgEEoFEIBFIBBKBRCARSAQSgUQgERgzCCTRMWaGMh8kEUgEEoFEIBFIBBKBRCARSAQSgUQgEUgEkujIOZAIJAKJQCKQCCQCiUAikAgkAolAIpAIJAJjBoEkOsbMUOaDJAKJQCKQCCQCiUAikAgkAolAIpAIJAKJQBIdOQcSgUQgEUgEEoFEIBFIBBKBRCARSAQSgURgzCCQRMeYGcp8kEQgEUgEEoFEIBFIBBKBRCARSAQSgUQgEShEx/8By4KWQRDwiQEAAAAASUVORK5CYII=">
          <a:extLst>
            <a:ext uri="{FF2B5EF4-FFF2-40B4-BE49-F238E27FC236}">
              <a16:creationId xmlns:a16="http://schemas.microsoft.com/office/drawing/2014/main" id="{6CC221EA-D442-4B2A-A526-CDD3E43B0EAC}"/>
            </a:ext>
          </a:extLst>
        </xdr:cNvPr>
        <xdr:cNvSpPr>
          <a:spLocks noChangeAspect="1" noChangeArrowheads="1"/>
        </xdr:cNvSpPr>
      </xdr:nvSpPr>
      <xdr:spPr bwMode="auto">
        <a:xfrm>
          <a:off x="6391275" y="198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145677</xdr:colOff>
      <xdr:row>0</xdr:row>
      <xdr:rowOff>119345</xdr:rowOff>
    </xdr:from>
    <xdr:to>
      <xdr:col>2</xdr:col>
      <xdr:colOff>1385529</xdr:colOff>
      <xdr:row>4</xdr:row>
      <xdr:rowOff>36234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F1EAD-164E-4BF4-9245-F1CD7CD4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02" y="119345"/>
          <a:ext cx="2097102" cy="730597"/>
        </a:xfrm>
        <a:prstGeom prst="rect">
          <a:avLst/>
        </a:prstGeom>
        <a:ln w="15875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4</xdr:col>
      <xdr:colOff>952500</xdr:colOff>
      <xdr:row>7</xdr:row>
      <xdr:rowOff>125666</xdr:rowOff>
    </xdr:from>
    <xdr:to>
      <xdr:col>16</xdr:col>
      <xdr:colOff>27216</xdr:colOff>
      <xdr:row>26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A3C3D4-5DF1-48DA-B637-EAAE5C6D9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1243852</xdr:colOff>
      <xdr:row>0</xdr:row>
      <xdr:rowOff>134471</xdr:rowOff>
    </xdr:from>
    <xdr:ext cx="1602441" cy="739588"/>
    <xdr:pic>
      <xdr:nvPicPr>
        <xdr:cNvPr id="5" name="image8.png">
          <a:extLst>
            <a:ext uri="{FF2B5EF4-FFF2-40B4-BE49-F238E27FC236}">
              <a16:creationId xmlns:a16="http://schemas.microsoft.com/office/drawing/2014/main" id="{769349D9-1711-4B36-8CB9-C550AD5618F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4927" y="134471"/>
          <a:ext cx="1602441" cy="739588"/>
        </a:xfrm>
        <a:prstGeom prst="rect">
          <a:avLst/>
        </a:prstGeom>
        <a:ln w="15875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 fLocksWithSheet="0"/>
  </xdr:oneCellAnchor>
  <xdr:twoCellAnchor>
    <xdr:from>
      <xdr:col>4</xdr:col>
      <xdr:colOff>911680</xdr:colOff>
      <xdr:row>27</xdr:row>
      <xdr:rowOff>163285</xdr:rowOff>
    </xdr:from>
    <xdr:to>
      <xdr:col>16</xdr:col>
      <xdr:colOff>13608</xdr:colOff>
      <xdr:row>36</xdr:row>
      <xdr:rowOff>54429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15166B-BE2C-41D3-946C-E223ACDAB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1</xdr:row>
      <xdr:rowOff>190500</xdr:rowOff>
    </xdr:from>
    <xdr:to>
      <xdr:col>4</xdr:col>
      <xdr:colOff>1450015</xdr:colOff>
      <xdr:row>5</xdr:row>
      <xdr:rowOff>80276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A8F6C3-3949-4C75-9960-9D2F5470D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47675"/>
          <a:ext cx="2631115" cy="918476"/>
        </a:xfrm>
        <a:prstGeom prst="rect">
          <a:avLst/>
        </a:prstGeom>
      </xdr:spPr>
    </xdr:pic>
    <xdr:clientData/>
  </xdr:twoCellAnchor>
  <xdr:oneCellAnchor>
    <xdr:from>
      <xdr:col>15</xdr:col>
      <xdr:colOff>554182</xdr:colOff>
      <xdr:row>1</xdr:row>
      <xdr:rowOff>121227</xdr:rowOff>
    </xdr:from>
    <xdr:ext cx="2580410" cy="1194954"/>
    <xdr:pic>
      <xdr:nvPicPr>
        <xdr:cNvPr id="3" name="image8.png">
          <a:extLst>
            <a:ext uri="{FF2B5EF4-FFF2-40B4-BE49-F238E27FC236}">
              <a16:creationId xmlns:a16="http://schemas.microsoft.com/office/drawing/2014/main" id="{56A5CC24-9F18-4D2A-8C78-9ED22ECE578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71432" y="378402"/>
          <a:ext cx="2580410" cy="1194954"/>
        </a:xfrm>
        <a:prstGeom prst="rect">
          <a:avLst/>
        </a:prstGeom>
        <a:ln w="15875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D1C4-252F-44D2-9455-F04D7C4AB754}">
  <sheetPr>
    <tabColor rgb="FF0070C0"/>
  </sheetPr>
  <dimension ref="A1:AT79"/>
  <sheetViews>
    <sheetView workbookViewId="0"/>
  </sheetViews>
  <sheetFormatPr baseColWidth="10" defaultColWidth="7.5703125" defaultRowHeight="15" outlineLevelCol="1"/>
  <cols>
    <col min="1" max="1" width="1.85546875" style="1664" customWidth="1"/>
    <col min="2" max="2" width="12.85546875" style="1750" customWidth="1"/>
    <col min="3" max="3" width="46.28515625" style="1664" customWidth="1"/>
    <col min="4" max="4" width="17.42578125" style="1664" customWidth="1"/>
    <col min="5" max="5" width="17.42578125" style="1700" customWidth="1"/>
    <col min="6" max="7" width="17.42578125" style="1664" customWidth="1"/>
    <col min="8" max="8" width="17.42578125" style="1748" customWidth="1"/>
    <col min="9" max="11" width="17.42578125" style="1700" customWidth="1"/>
    <col min="12" max="17" width="17.42578125" style="1664" customWidth="1" outlineLevel="1"/>
    <col min="18" max="18" width="10.28515625" style="1664" customWidth="1" outlineLevel="1"/>
    <col min="19" max="19" width="15.140625" style="1664" customWidth="1" outlineLevel="1"/>
    <col min="20" max="23" width="7.85546875" style="1664" customWidth="1"/>
    <col min="24" max="25" width="12.140625" style="1664" customWidth="1"/>
    <col min="26" max="27" width="7.85546875" style="1664" customWidth="1"/>
    <col min="28" max="29" width="7.85546875" style="1714" customWidth="1"/>
    <col min="30" max="32" width="7.85546875" style="1664" customWidth="1"/>
    <col min="33" max="34" width="12.140625" style="1664" customWidth="1"/>
    <col min="35" max="35" width="9.5703125" style="1664" customWidth="1"/>
    <col min="36" max="36" width="9.7109375" style="1715" customWidth="1"/>
    <col min="37" max="37" width="31.140625" style="1714" customWidth="1"/>
    <col min="38" max="38" width="21.7109375" style="1750" customWidth="1"/>
    <col min="39" max="39" width="9.7109375" style="1750" customWidth="1"/>
    <col min="40" max="40" width="9.7109375" style="1664" customWidth="1"/>
    <col min="41" max="41" width="39.140625" style="1664" customWidth="1"/>
    <col min="42" max="42" width="41" style="1664" bestFit="1" customWidth="1"/>
    <col min="43" max="43" width="12.140625" style="1664" customWidth="1"/>
    <col min="44" max="44" width="14.5703125" style="1664" bestFit="1" customWidth="1"/>
    <col min="45" max="16384" width="7.5703125" style="1664"/>
  </cols>
  <sheetData>
    <row r="1" spans="1:46" s="1700" customFormat="1" ht="15.75">
      <c r="A1" s="1664"/>
      <c r="B1" s="1694"/>
      <c r="C1" s="1694"/>
      <c r="D1" s="1694"/>
      <c r="E1" s="1694"/>
      <c r="F1" s="1693"/>
      <c r="G1" s="1694"/>
      <c r="H1" s="1695"/>
      <c r="I1" s="1693"/>
      <c r="J1" s="1693"/>
      <c r="K1" s="1693"/>
      <c r="L1" s="1693"/>
      <c r="M1" s="1693"/>
      <c r="N1" s="1693"/>
      <c r="O1" s="1693"/>
      <c r="P1" s="1693"/>
      <c r="Q1" s="1693"/>
      <c r="R1" s="1693"/>
      <c r="S1" s="1693"/>
      <c r="T1" s="1693"/>
      <c r="U1" s="1693"/>
      <c r="V1" s="1693"/>
      <c r="W1" s="1693"/>
      <c r="X1" s="1693"/>
      <c r="Y1" s="1693"/>
      <c r="Z1" s="1698"/>
      <c r="AA1" s="1693"/>
      <c r="AB1" s="1693"/>
      <c r="AC1" s="1697"/>
      <c r="AD1" s="1697"/>
      <c r="AE1" s="1697"/>
      <c r="AF1" s="1697"/>
      <c r="AG1" s="1697"/>
      <c r="AH1" s="1697"/>
      <c r="AI1" s="1697"/>
      <c r="AJ1" s="2116"/>
      <c r="AK1" s="1697"/>
      <c r="AL1" s="1697"/>
      <c r="AM1" s="1697"/>
      <c r="AN1" s="1697"/>
      <c r="AO1" s="1697"/>
      <c r="AP1" s="1697"/>
      <c r="AQ1" s="1697"/>
      <c r="AR1" s="1664"/>
      <c r="AS1" s="1664"/>
      <c r="AT1" s="1664"/>
    </row>
    <row r="2" spans="1:46" s="1700" customFormat="1" ht="15.75">
      <c r="A2" s="1664"/>
      <c r="B2" s="1694"/>
      <c r="C2" s="1694"/>
      <c r="D2" s="1701" t="inlineStr">
        <is>
          <t xml:space="preserve">NOMBRE DE PROYECTO : </t>
        </is>
      </c>
      <c r="I2" s="1702" t="str">
        <f>Carátula!C10</f>
        <v>“REPOSICIÓN DEL SISTEMA DE DOSIFICACIÓN DE FLOCULANTE”</v>
      </c>
      <c r="J2" s="1693"/>
      <c r="K2" s="1693"/>
      <c r="L2" s="1693"/>
      <c r="M2" s="1693"/>
      <c r="N2" s="1693"/>
      <c r="O2" s="1693"/>
      <c r="P2" s="1693"/>
      <c r="Q2" s="1693"/>
      <c r="R2" s="1693"/>
      <c r="S2" s="1693"/>
      <c r="T2" s="1693"/>
      <c r="U2" s="1693"/>
      <c r="V2" s="1693"/>
      <c r="W2" s="1693"/>
      <c r="X2" s="1693"/>
      <c r="Y2" s="1693"/>
      <c r="AB2" s="1693"/>
      <c r="AC2" s="1693"/>
      <c r="AD2" s="1693"/>
      <c r="AE2" s="1693"/>
      <c r="AF2" s="1693"/>
      <c r="AG2" s="1693"/>
      <c r="AH2" s="1693"/>
      <c r="AI2" s="1693"/>
      <c r="AJ2" s="2116"/>
      <c r="AK2" s="1693"/>
      <c r="AL2" s="1693"/>
      <c r="AM2" s="1693"/>
      <c r="AN2" s="1693"/>
      <c r="AO2" s="1693"/>
      <c r="AP2" s="1693"/>
      <c r="AQ2" s="1693"/>
      <c r="AR2" s="1664"/>
      <c r="AS2" s="1664"/>
      <c r="AT2" s="1664"/>
    </row>
    <row r="3" spans="1:46" s="1700" customFormat="1" ht="15.75">
      <c r="A3" s="1664"/>
      <c r="B3" s="1694"/>
      <c r="C3" s="1694"/>
      <c r="D3" s="1702" t="inlineStr">
        <is>
          <t xml:space="preserve">SEMANA DE ANALISIS :</t>
        </is>
      </c>
      <c r="I3" s="1702">
        <f>Carátula!C17</f>
        <v>33</v>
      </c>
      <c r="J3" s="1693"/>
      <c r="K3" s="1693"/>
      <c r="L3" s="1693"/>
      <c r="M3" s="1693"/>
      <c r="N3" s="1693"/>
      <c r="O3" s="1693"/>
      <c r="P3" s="1693"/>
      <c r="Q3" s="1693"/>
      <c r="R3" s="1693"/>
      <c r="S3" s="1693"/>
      <c r="T3" s="1693"/>
      <c r="U3" s="1693"/>
      <c r="V3" s="1693"/>
      <c r="W3" s="1693"/>
      <c r="X3" s="1693"/>
      <c r="Y3" s="1693"/>
      <c r="AB3" s="1693"/>
      <c r="AC3" s="1693"/>
      <c r="AD3" s="1693"/>
      <c r="AE3" s="1693"/>
      <c r="AF3" s="1693"/>
      <c r="AG3" s="1693"/>
      <c r="AH3" s="1693"/>
      <c r="AI3" s="1693"/>
      <c r="AJ3" s="2116"/>
      <c r="AK3" s="1693"/>
      <c r="AL3" s="1693"/>
      <c r="AM3" s="1693"/>
      <c r="AN3" s="1693"/>
      <c r="AO3" s="1693"/>
      <c r="AP3" s="1693"/>
      <c r="AQ3" s="1693"/>
      <c r="AR3" s="1664"/>
      <c r="AS3" s="1664"/>
      <c r="AT3" s="1664"/>
    </row>
    <row r="4" spans="1:46" s="1700" customFormat="1" ht="15.75">
      <c r="A4" s="1664"/>
      <c r="B4" s="1694"/>
      <c r="C4" s="1694"/>
      <c r="D4" s="1701" t="inlineStr">
        <is>
          <t xml:space="preserve">PORCENTAJE DE PLAN CUMPLIDO PAC:</t>
        </is>
      </c>
      <c r="I4" s="1706">
        <f>D35</f>
        <v>0.55555555555555558</v>
      </c>
      <c r="J4" s="1693"/>
      <c r="K4" s="1693"/>
      <c r="L4" s="1693"/>
      <c r="M4" s="1693"/>
      <c r="N4" s="1693"/>
      <c r="O4" s="1693"/>
      <c r="P4" s="1693"/>
      <c r="Q4" s="1693"/>
      <c r="R4" s="1693"/>
      <c r="S4" s="1693"/>
      <c r="T4" s="1693"/>
      <c r="U4" s="1693"/>
      <c r="V4" s="1693"/>
      <c r="W4" s="1693"/>
      <c r="X4" s="1693"/>
      <c r="Y4" s="1693"/>
      <c r="AB4" s="1693"/>
      <c r="AC4" s="1693"/>
      <c r="AD4" s="1693"/>
      <c r="AE4" s="1693"/>
      <c r="AF4" s="1693"/>
      <c r="AG4" s="1693"/>
      <c r="AH4" s="1693"/>
      <c r="AI4" s="1693"/>
      <c r="AJ4" s="2116"/>
      <c r="AK4" s="1693"/>
      <c r="AL4" s="1693"/>
      <c r="AM4" s="1693"/>
      <c r="AN4" s="1693"/>
      <c r="AO4" s="1693"/>
      <c r="AP4" s="1693"/>
      <c r="AQ4" s="1693"/>
      <c r="AR4" s="1664"/>
      <c r="AS4" s="1664"/>
      <c r="AT4" s="1664"/>
    </row>
    <row r="5" spans="1:46" s="1700" customFormat="1" ht="15.75">
      <c r="A5" s="1664"/>
      <c r="B5" s="1694"/>
      <c r="C5" s="1694"/>
      <c r="D5" s="1701" t="inlineStr">
        <is>
          <t xml:space="preserve">PORCENTAJE DE PLAN CUMPLIDO PAE:</t>
        </is>
      </c>
      <c r="I5" s="1706">
        <f>D36</f>
        <v>0</v>
      </c>
      <c r="J5" s="1693"/>
      <c r="K5" s="1693"/>
      <c r="L5" s="1693"/>
      <c r="M5" s="1693"/>
      <c r="N5" s="1693"/>
      <c r="O5" s="1693"/>
      <c r="P5" s="1693"/>
      <c r="Q5" s="1693"/>
      <c r="R5" s="1693"/>
      <c r="S5" s="1693"/>
      <c r="T5" s="1693"/>
      <c r="U5" s="1693"/>
      <c r="V5" s="1693"/>
      <c r="W5" s="1693"/>
      <c r="X5" s="1693"/>
      <c r="Y5" s="1693"/>
      <c r="AB5" s="1693"/>
      <c r="AC5" s="1693"/>
      <c r="AD5" s="1693"/>
      <c r="AE5" s="1693"/>
      <c r="AF5" s="1693"/>
      <c r="AG5" s="1693"/>
      <c r="AH5" s="1693"/>
      <c r="AI5" s="1693"/>
      <c r="AJ5" s="2116"/>
      <c r="AK5" s="1693"/>
      <c r="AL5" s="1708"/>
      <c r="AM5" s="1693"/>
      <c r="AN5" s="1693"/>
      <c r="AO5" s="1693"/>
      <c r="AP5" s="1709" t="inlineStr">
        <is>
          <t xml:space="preserve">MY</t>
        </is>
      </c>
      <c r="AQ5" s="1693"/>
      <c r="AR5" s="1664"/>
      <c r="AS5" s="1664"/>
      <c r="AT5" s="1664"/>
    </row>
    <row r="6" spans="1:46">
      <c r="B6" s="1751"/>
      <c r="C6" s="1752"/>
      <c r="D6" s="1752"/>
      <c r="E6" s="1752"/>
      <c r="F6" s="1752"/>
      <c r="G6" s="1752"/>
      <c r="H6" s="1752"/>
      <c r="I6" s="1752"/>
      <c r="J6" s="1752"/>
      <c r="K6" s="1752"/>
      <c r="L6" s="1752"/>
      <c r="M6" s="1752"/>
      <c r="N6" s="1752"/>
      <c r="O6" s="1752"/>
      <c r="P6" s="1752"/>
      <c r="Q6" s="1752"/>
      <c r="R6" s="1752"/>
      <c r="AB6" s="1664"/>
      <c r="AC6" s="1664"/>
      <c r="AJ6" s="2107"/>
      <c r="AK6" s="1664"/>
      <c r="AL6" s="1664" t="str">
        <f>IF(AC6&gt;0,IF(AK6&gt;=AC6,"SÍ","NO"),IF(AND(AC6=0,AK6=0)," ","ENP"))</f>
        <v xml:space="preserve"> </v>
      </c>
      <c r="AM6" s="1664"/>
      <c r="AN6" s="1752"/>
      <c r="AO6" s="1752"/>
      <c r="AP6" s="1752"/>
      <c r="AQ6" s="1752"/>
      <c r="AR6" s="1752"/>
    </row>
    <row r="7" spans="1:46">
      <c r="B7" s="1751"/>
      <c r="C7" s="1752"/>
      <c r="D7" s="1752"/>
      <c r="E7" s="1752"/>
      <c r="F7" s="1752"/>
      <c r="G7" s="1752"/>
      <c r="H7" s="1752"/>
      <c r="I7" s="1752"/>
      <c r="J7" s="1752"/>
      <c r="K7" s="1752"/>
      <c r="L7" s="1752"/>
      <c r="M7" s="1752"/>
      <c r="N7" s="1752"/>
      <c r="O7" s="1752"/>
      <c r="P7" s="1752"/>
      <c r="Q7" s="1752"/>
      <c r="R7" s="1752"/>
      <c r="AB7" s="1664"/>
      <c r="AC7" s="1664"/>
      <c r="AJ7" s="2107"/>
      <c r="AK7" s="1664"/>
      <c r="AL7" s="1664"/>
      <c r="AM7" s="1664"/>
      <c r="AN7" s="1752"/>
      <c r="AO7" s="1752"/>
      <c r="AP7" s="1752"/>
      <c r="AQ7" s="1752"/>
      <c r="AR7" s="1752"/>
    </row>
    <row r="8" spans="1:46">
      <c r="B8" s="1751"/>
      <c r="C8" s="1752"/>
      <c r="D8" s="1752"/>
      <c r="E8" s="1752"/>
      <c r="F8" s="1752"/>
      <c r="G8" s="1752"/>
      <c r="H8" s="1752"/>
      <c r="I8" s="1752"/>
      <c r="J8" s="1752"/>
      <c r="K8" s="1752"/>
      <c r="L8" s="1752"/>
      <c r="M8" s="1752"/>
      <c r="N8" s="1752"/>
      <c r="O8" s="1752"/>
      <c r="P8" s="1752"/>
      <c r="Q8" s="1752"/>
      <c r="R8" s="1752"/>
      <c r="AB8" s="1664"/>
      <c r="AC8" s="1664"/>
      <c r="AJ8" s="2107"/>
      <c r="AK8" s="1664"/>
      <c r="AL8" s="1664"/>
      <c r="AM8" s="1664"/>
      <c r="AN8" s="1752"/>
      <c r="AO8" s="1752"/>
      <c r="AP8" s="1752"/>
      <c r="AQ8" s="1752"/>
      <c r="AR8" s="1752"/>
    </row>
    <row r="9" spans="1:46">
      <c r="B9" s="1976" t="inlineStr">
        <is>
          <t xml:space="preserve">SEMANA</t>
        </is>
      </c>
      <c r="C9" s="1977" t="inlineStr">
        <is>
          <t xml:space="preserve">PPC SEMANAL</t>
        </is>
      </c>
      <c r="D9" s="1977" t="inlineStr">
        <is>
          <t xml:space="preserve">PPC META</t>
        </is>
      </c>
      <c r="G9" s="1752"/>
      <c r="H9" s="1752"/>
      <c r="I9" s="1752"/>
      <c r="J9" s="1752"/>
      <c r="K9" s="1752"/>
      <c r="L9" s="1752"/>
      <c r="M9" s="1752"/>
      <c r="N9" s="1752"/>
      <c r="O9" s="1752"/>
      <c r="P9" s="1752"/>
      <c r="Q9" s="1752"/>
      <c r="R9" s="1752"/>
      <c r="AB9" s="1664"/>
      <c r="AC9" s="1664"/>
      <c r="AJ9" s="2107"/>
      <c r="AK9" s="1664"/>
      <c r="AL9" s="1664"/>
      <c r="AM9" s="1664"/>
      <c r="AN9" s="1752"/>
      <c r="AO9" s="1752"/>
      <c r="AP9" s="1752"/>
      <c r="AQ9" s="1752"/>
      <c r="AR9" s="1752"/>
    </row>
    <row r="10" spans="1:46" s="1700" customFormat="1" hidden="1">
      <c r="B10" s="1973">
        <v>27</v>
      </c>
      <c r="C10" s="1978" t="str">
        <f>IF($I$3=27,$D$35,"")</f>
        <v/>
      </c>
      <c r="D10" s="1979">
        <v>0.8</v>
      </c>
      <c r="H10" s="1753"/>
      <c r="S10" s="1664"/>
      <c r="T10" s="1664"/>
      <c r="U10" s="1664"/>
      <c r="V10" s="1664"/>
      <c r="W10" s="1664"/>
      <c r="X10" s="1664"/>
      <c r="Y10" s="1664"/>
      <c r="Z10" s="1664"/>
      <c r="AA10" s="1664"/>
      <c r="AB10" s="1664"/>
      <c r="AC10" s="1664"/>
      <c r="AD10" s="1664"/>
      <c r="AE10" s="1664"/>
      <c r="AF10" s="1664"/>
      <c r="AG10" s="1664"/>
      <c r="AH10" s="1664"/>
      <c r="AI10" s="1664"/>
      <c r="AJ10" s="2107"/>
      <c r="AK10" s="1664"/>
      <c r="AL10" s="1664"/>
      <c r="AM10" s="1664"/>
    </row>
    <row r="11" spans="1:46" s="1700" customFormat="1" hidden="1">
      <c r="B11" s="1973">
        <v>28</v>
      </c>
      <c r="C11" s="1978" t="str">
        <f>IF($I$3=28,$D$35,"")</f>
        <v/>
      </c>
      <c r="D11" s="1979">
        <v>0.8</v>
      </c>
      <c r="H11" s="1753"/>
      <c r="S11" s="1664"/>
      <c r="T11" s="1664"/>
      <c r="U11" s="1664"/>
      <c r="V11" s="1664"/>
      <c r="W11" s="1664"/>
      <c r="X11" s="1664"/>
      <c r="Y11" s="1664"/>
      <c r="Z11" s="1664"/>
      <c r="AA11" s="1664"/>
      <c r="AB11" s="1664"/>
      <c r="AC11" s="1664"/>
      <c r="AD11" s="1664"/>
      <c r="AE11" s="1664"/>
      <c r="AF11" s="1664"/>
      <c r="AG11" s="1664"/>
      <c r="AH11" s="1664"/>
      <c r="AI11" s="1664"/>
      <c r="AJ11" s="2107"/>
      <c r="AK11" s="1664"/>
      <c r="AL11" s="1664"/>
      <c r="AM11" s="1664"/>
    </row>
    <row r="12" spans="1:46" hidden="1">
      <c r="B12" s="1973">
        <v>29</v>
      </c>
      <c r="C12" s="1978" t="str">
        <f>IF($I$3=29,$D$35,"")</f>
        <v/>
      </c>
      <c r="D12" s="1979">
        <v>0.8</v>
      </c>
      <c r="AB12" s="1664"/>
      <c r="AC12" s="1664"/>
      <c r="AJ12" s="2107"/>
      <c r="AK12" s="1664"/>
      <c r="AL12" s="1664"/>
      <c r="AM12" s="1664"/>
    </row>
    <row r="13" spans="1:46" hidden="1">
      <c r="B13" s="1973">
        <v>30</v>
      </c>
      <c r="C13" s="1978" t="str">
        <f>IF($I$3=30,$D$35,"")</f>
        <v/>
      </c>
      <c r="D13" s="1979">
        <v>0.8</v>
      </c>
      <c r="AB13" s="1664"/>
      <c r="AC13" s="1664"/>
      <c r="AJ13" s="2107"/>
      <c r="AK13" s="1664"/>
      <c r="AL13" s="1664"/>
      <c r="AM13" s="1664"/>
    </row>
    <row r="14" spans="1:46" s="1700" customFormat="1" hidden="1">
      <c r="B14" s="1973">
        <v>31</v>
      </c>
      <c r="C14" s="1978" t="str">
        <f>IF($I$3=31,$D$35,"")</f>
        <v/>
      </c>
      <c r="D14" s="1979">
        <v>0.8</v>
      </c>
      <c r="H14" s="1753"/>
      <c r="S14" s="1664"/>
      <c r="T14" s="1664"/>
      <c r="U14" s="1664"/>
      <c r="V14" s="1664"/>
      <c r="W14" s="1664"/>
      <c r="X14" s="1664"/>
      <c r="Y14" s="1664"/>
      <c r="Z14" s="1664"/>
      <c r="AA14" s="1664"/>
      <c r="AB14" s="1664"/>
      <c r="AC14" s="1664"/>
      <c r="AD14" s="1664"/>
      <c r="AE14" s="1664"/>
      <c r="AF14" s="1664"/>
      <c r="AG14" s="1664"/>
      <c r="AH14" s="1664"/>
      <c r="AI14" s="1664"/>
      <c r="AJ14" s="2107"/>
      <c r="AK14" s="1664"/>
      <c r="AL14" s="1664"/>
      <c r="AM14" s="1664"/>
    </row>
    <row r="15" spans="1:46" s="1700" customFormat="1" hidden="1">
      <c r="B15" s="1973">
        <v>32</v>
      </c>
      <c r="C15" s="1978" t="str">
        <f>IF($I$3=32,$D$35,"")</f>
        <v/>
      </c>
      <c r="D15" s="1979">
        <v>0.8</v>
      </c>
      <c r="H15" s="1753"/>
      <c r="S15" s="1664"/>
      <c r="T15" s="1664"/>
      <c r="U15" s="1664"/>
      <c r="V15" s="1664"/>
      <c r="W15" s="1664"/>
      <c r="X15" s="1664"/>
      <c r="Y15" s="1664"/>
      <c r="Z15" s="1664"/>
      <c r="AA15" s="1664"/>
      <c r="AB15" s="1664"/>
      <c r="AC15" s="1664"/>
      <c r="AD15" s="1664"/>
      <c r="AE15" s="1664"/>
      <c r="AF15" s="1664"/>
      <c r="AG15" s="1664"/>
      <c r="AH15" s="1664"/>
      <c r="AI15" s="1664"/>
      <c r="AJ15" s="2107"/>
      <c r="AK15" s="1664"/>
      <c r="AL15" s="1664"/>
      <c r="AM15" s="1664"/>
    </row>
    <row r="16" spans="1:46" s="1700" customFormat="1">
      <c r="B16" s="1973">
        <v>33</v>
      </c>
      <c r="C16" s="1978">
        <f>IF($I$3=33,$D$35,"")</f>
        <v>0.55555555555555558</v>
      </c>
      <c r="D16" s="1979">
        <v>0.8</v>
      </c>
      <c r="H16" s="1753"/>
      <c r="S16" s="1664"/>
      <c r="T16" s="1664"/>
      <c r="U16" s="1664"/>
      <c r="V16" s="1664"/>
      <c r="W16" s="1664"/>
      <c r="X16" s="1664"/>
      <c r="Y16" s="1664"/>
      <c r="Z16" s="1664"/>
      <c r="AA16" s="1664"/>
      <c r="AB16" s="1664"/>
      <c r="AC16" s="1664"/>
      <c r="AD16" s="1664"/>
      <c r="AE16" s="1664"/>
      <c r="AF16" s="1664"/>
      <c r="AG16" s="1664"/>
      <c r="AH16" s="1664"/>
      <c r="AI16" s="1664"/>
      <c r="AJ16" s="2107"/>
      <c r="AK16" s="1664"/>
      <c r="AL16" s="1664"/>
      <c r="AM16" s="1664"/>
    </row>
    <row r="17" spans="2:39">
      <c r="B17" s="1973">
        <v>34</v>
      </c>
      <c r="C17" s="1978" t="str">
        <f>IF($I$3=34,$D$35,"")</f>
        <v/>
      </c>
      <c r="D17" s="1979">
        <v>0.8</v>
      </c>
      <c r="AB17" s="1664"/>
      <c r="AC17" s="1664"/>
      <c r="AJ17" s="2107"/>
      <c r="AK17" s="1664"/>
      <c r="AL17" s="1664"/>
      <c r="AM17" s="1664"/>
    </row>
    <row r="18" spans="2:39">
      <c r="B18" s="1973">
        <v>35</v>
      </c>
      <c r="C18" s="1978" t="str">
        <f>IF($I$3=35,$D$35,"")</f>
        <v/>
      </c>
      <c r="D18" s="1979">
        <v>0.8</v>
      </c>
      <c r="AB18" s="1664"/>
      <c r="AC18" s="1664"/>
      <c r="AJ18" s="2107"/>
      <c r="AK18" s="1664"/>
      <c r="AL18" s="1664"/>
      <c r="AM18" s="1664"/>
    </row>
    <row r="19" spans="2:39" s="1700" customFormat="1">
      <c r="B19" s="1973">
        <v>36</v>
      </c>
      <c r="C19" s="1978" t="str">
        <f>IF($I$3=36,$D$35,"")</f>
        <v/>
      </c>
      <c r="D19" s="1979">
        <v>0.8</v>
      </c>
      <c r="H19" s="1753"/>
      <c r="S19" s="1664"/>
      <c r="T19" s="1664"/>
      <c r="U19" s="1664"/>
      <c r="V19" s="1664"/>
      <c r="W19" s="1664"/>
      <c r="X19" s="1664"/>
      <c r="Y19" s="1664"/>
      <c r="Z19" s="1664"/>
      <c r="AA19" s="1664"/>
      <c r="AB19" s="1664"/>
      <c r="AC19" s="1664"/>
      <c r="AD19" s="1664"/>
      <c r="AE19" s="1664"/>
      <c r="AF19" s="1664"/>
      <c r="AG19" s="1664"/>
      <c r="AH19" s="1664"/>
      <c r="AI19" s="1664"/>
      <c r="AJ19" s="2107"/>
      <c r="AK19" s="1664"/>
      <c r="AL19" s="1664"/>
      <c r="AM19" s="1664"/>
    </row>
    <row r="20" spans="2:39" s="1700" customFormat="1">
      <c r="B20" s="1973">
        <v>37</v>
      </c>
      <c r="C20" s="1978" t="str">
        <f>IF($I$3=37,$D$35,"")</f>
        <v/>
      </c>
      <c r="D20" s="1979">
        <v>0.8</v>
      </c>
      <c r="H20" s="1753"/>
      <c r="S20" s="1664"/>
      <c r="T20" s="1664"/>
      <c r="U20" s="1664"/>
      <c r="V20" s="1664"/>
      <c r="W20" s="1664"/>
      <c r="X20" s="1664"/>
      <c r="Y20" s="1664"/>
      <c r="Z20" s="1664"/>
      <c r="AA20" s="1664"/>
      <c r="AB20" s="1664"/>
      <c r="AC20" s="1664"/>
      <c r="AD20" s="1664"/>
      <c r="AE20" s="1664"/>
      <c r="AF20" s="1664"/>
      <c r="AG20" s="1664"/>
      <c r="AH20" s="1664"/>
      <c r="AI20" s="1664"/>
      <c r="AJ20" s="2107"/>
      <c r="AK20" s="1664"/>
      <c r="AL20" s="1664"/>
      <c r="AM20" s="1664"/>
    </row>
    <row r="21" spans="2:39" s="1700" customFormat="1">
      <c r="B21" s="1973">
        <v>38</v>
      </c>
      <c r="C21" s="1978" t="str">
        <f>IF($I$3=38,$D$35,"")</f>
        <v/>
      </c>
      <c r="D21" s="1979">
        <v>0.8</v>
      </c>
      <c r="H21" s="1753"/>
      <c r="S21" s="1664"/>
      <c r="T21" s="1664"/>
      <c r="U21" s="1664"/>
      <c r="V21" s="1664"/>
      <c r="W21" s="1664"/>
      <c r="X21" s="1664"/>
      <c r="Y21" s="1664"/>
      <c r="Z21" s="1664"/>
      <c r="AA21" s="1664"/>
      <c r="AB21" s="1664"/>
      <c r="AC21" s="1664"/>
      <c r="AD21" s="1664"/>
      <c r="AE21" s="1664"/>
      <c r="AF21" s="1664"/>
      <c r="AG21" s="1664"/>
      <c r="AH21" s="1664"/>
      <c r="AI21" s="1664"/>
      <c r="AJ21" s="2107"/>
      <c r="AK21" s="1664"/>
      <c r="AL21" s="1664"/>
      <c r="AM21" s="1664"/>
    </row>
    <row r="22" spans="2:39" s="1700" customFormat="1" ht="180">
      <c r="B22" s="1973">
        <v>39</v>
      </c>
      <c r="C22" s="1978" t="str">
        <f>IF($I$3=39,$D$35,"")</f>
        <v/>
      </c>
      <c r="D22" s="1979">
        <v>0.8</v>
      </c>
      <c r="H22" s="1753"/>
      <c r="S22" s="1664"/>
      <c r="T22" s="1664"/>
      <c r="U22" s="1664"/>
      <c r="V22" s="1664"/>
      <c r="W22" s="1664"/>
      <c r="X22" s="1664"/>
      <c r="Y22" s="1664"/>
      <c r="Z22" s="1664"/>
      <c r="AA22" s="1664"/>
      <c r="AB22" s="1664"/>
      <c r="AC22" s="1664"/>
      <c r="AD22" s="1664"/>
      <c r="AE22" s="1664"/>
      <c r="AF22" s="1664"/>
      <c r="AG22" s="1664"/>
      <c r="AH22" s="1664"/>
      <c r="AI22" s="1664"/>
      <c r="AJ22" s="2107" t="inlineStr">
        <is>
          <t xml:space="preserve">Avance parcial: se repriorizaron los desmontajes de equipos y líneas solicitados por el cliente.</t>
        </is>
      </c>
      <c r="AK22" s="1664"/>
      <c r="AL22" s="1664"/>
      <c r="AM22" s="1664"/>
    </row>
    <row r="23" spans="2:39" s="1700" customFormat="1">
      <c r="B23" s="1973">
        <v>40</v>
      </c>
      <c r="C23" s="1978" t="str">
        <f>IF($I$3=40,$D$35,"")</f>
        <v/>
      </c>
      <c r="D23" s="1979">
        <v>0.8</v>
      </c>
      <c r="H23" s="1753"/>
      <c r="S23" s="1664"/>
      <c r="T23" s="1664"/>
      <c r="U23" s="1664"/>
      <c r="V23" s="1664"/>
      <c r="W23" s="1664"/>
      <c r="X23" s="1664"/>
      <c r="Y23" s="1664"/>
      <c r="Z23" s="1664"/>
      <c r="AA23" s="1664"/>
      <c r="AB23" s="1664"/>
      <c r="AC23" s="1664"/>
      <c r="AD23" s="1664"/>
      <c r="AE23" s="1664"/>
      <c r="AF23" s="1664"/>
      <c r="AG23" s="1664"/>
      <c r="AH23" s="1664"/>
      <c r="AI23" s="1664"/>
      <c r="AJ23" s="2107"/>
      <c r="AK23" s="1664"/>
      <c r="AL23" s="1664"/>
      <c r="AM23" s="1664"/>
    </row>
    <row r="24" spans="2:39" s="1700" customFormat="1">
      <c r="B24" s="1973">
        <v>41</v>
      </c>
      <c r="C24" s="1978" t="str">
        <f>IF($I$3=41,$D$35,"")</f>
        <v/>
      </c>
      <c r="D24" s="1979">
        <v>0.8</v>
      </c>
      <c r="H24" s="1753"/>
      <c r="S24" s="1664"/>
      <c r="T24" s="1664"/>
      <c r="U24" s="1664"/>
      <c r="V24" s="1664"/>
      <c r="W24" s="1664"/>
      <c r="X24" s="1664"/>
      <c r="Y24" s="1664"/>
      <c r="Z24" s="1664"/>
      <c r="AA24" s="1664"/>
      <c r="AB24" s="1664"/>
      <c r="AC24" s="1664"/>
      <c r="AD24" s="1664"/>
      <c r="AE24" s="1664"/>
      <c r="AF24" s="1664"/>
      <c r="AG24" s="1664"/>
      <c r="AH24" s="1664"/>
      <c r="AI24" s="1664"/>
      <c r="AJ24" s="2107"/>
      <c r="AK24" s="1664"/>
      <c r="AL24" s="1664"/>
      <c r="AM24" s="1664"/>
    </row>
    <row r="25" spans="2:39" s="1700" customFormat="1">
      <c r="B25" s="1973">
        <v>42</v>
      </c>
      <c r="C25" s="1978" t="str">
        <f>IF($I$3=42,$D$35,"")</f>
        <v/>
      </c>
      <c r="D25" s="1979">
        <v>0.8</v>
      </c>
      <c r="H25" s="1753"/>
      <c r="S25" s="1664"/>
      <c r="T25" s="1664"/>
      <c r="U25" s="1664"/>
      <c r="V25" s="1664"/>
      <c r="W25" s="1664"/>
      <c r="X25" s="1664"/>
      <c r="Y25" s="1664"/>
      <c r="Z25" s="1664"/>
      <c r="AA25" s="1664"/>
      <c r="AB25" s="1664"/>
      <c r="AC25" s="1664"/>
      <c r="AD25" s="1664"/>
      <c r="AE25" s="1664"/>
      <c r="AF25" s="1664"/>
      <c r="AG25" s="1664"/>
      <c r="AH25" s="1664"/>
      <c r="AI25" s="1664"/>
      <c r="AJ25" s="2107"/>
      <c r="AK25" s="1664"/>
      <c r="AL25" s="1664"/>
      <c r="AM25" s="1664"/>
    </row>
    <row r="26" spans="2:39" s="1700" customFormat="1">
      <c r="B26" s="1973">
        <v>43</v>
      </c>
      <c r="C26" s="1978" t="str">
        <f>IF($I$3=43,$D$35,"")</f>
        <v/>
      </c>
      <c r="D26" s="1979">
        <v>0.8</v>
      </c>
      <c r="H26" s="1753"/>
      <c r="S26" s="1664"/>
      <c r="T26" s="1664"/>
      <c r="U26" s="1664"/>
      <c r="V26" s="1664"/>
      <c r="W26" s="1664"/>
      <c r="X26" s="1664"/>
      <c r="Y26" s="1664"/>
      <c r="Z26" s="1664"/>
      <c r="AA26" s="1664"/>
      <c r="AB26" s="1664"/>
      <c r="AC26" s="1664"/>
      <c r="AD26" s="1664"/>
      <c r="AE26" s="1664"/>
      <c r="AF26" s="1664"/>
      <c r="AG26" s="1664"/>
      <c r="AH26" s="1664"/>
      <c r="AI26" s="1664"/>
      <c r="AJ26" s="2107"/>
      <c r="AK26" s="1664"/>
      <c r="AL26" s="1664"/>
      <c r="AM26" s="1664"/>
    </row>
    <row r="27" spans="2:39" s="1700" customFormat="1">
      <c r="B27" s="1973">
        <v>44</v>
      </c>
      <c r="C27" s="1978" t="str">
        <f>IF($I$3=44,$D$35,"")</f>
        <v/>
      </c>
      <c r="D27" s="1979">
        <v>0.8</v>
      </c>
      <c r="H27" s="1753"/>
      <c r="S27" s="1664"/>
      <c r="T27" s="1664"/>
      <c r="U27" s="1664"/>
      <c r="V27" s="1664"/>
      <c r="W27" s="1664"/>
      <c r="X27" s="1664"/>
      <c r="Y27" s="1664"/>
      <c r="Z27" s="1664"/>
      <c r="AA27" s="1664"/>
      <c r="AB27" s="1664"/>
      <c r="AC27" s="1664"/>
      <c r="AD27" s="1664"/>
      <c r="AE27" s="1664"/>
      <c r="AF27" s="1664"/>
      <c r="AG27" s="1664"/>
      <c r="AH27" s="1664"/>
      <c r="AI27" s="1664"/>
      <c r="AJ27" s="2107"/>
      <c r="AK27" s="1664"/>
      <c r="AL27" s="1664"/>
      <c r="AM27" s="1664"/>
    </row>
    <row r="28" spans="2:39">
      <c r="AB28" s="1664"/>
      <c r="AC28" s="1664"/>
      <c r="AJ28" s="2107"/>
      <c r="AK28" s="1664"/>
      <c r="AL28" s="1664"/>
      <c r="AM28" s="1664"/>
    </row>
    <row r="29" spans="2:39">
      <c r="B29" s="2701" t="inlineStr">
        <is>
          <t xml:space="preserve">CÁLCULO DE PPC DEL PERIODO</t>
        </is>
      </c>
      <c r="C29" s="2701"/>
      <c r="D29" s="1988"/>
      <c r="F29" s="1748"/>
      <c r="AB29" s="1664"/>
      <c r="AC29" s="1664"/>
      <c r="AJ29" s="2107"/>
      <c r="AK29" s="1664"/>
      <c r="AL29" s="1664"/>
      <c r="AM29" s="1664"/>
    </row>
    <row r="30" spans="2:39">
      <c r="B30" s="2702" t="inlineStr">
        <is>
          <t xml:space="preserve">Total de actividades</t>
        </is>
      </c>
      <c r="C30" s="2702"/>
      <c r="D30" s="1980">
        <f>D31+D34</f>
        <v>9</v>
      </c>
      <c r="F30" s="1748"/>
    </row>
    <row r="31" spans="2:39">
      <c r="B31" s="2702" t="inlineStr">
        <is>
          <t xml:space="preserve">Actividades programadas  </t>
        </is>
      </c>
      <c r="C31" s="2702"/>
      <c r="D31" s="1980">
        <f>COUNTIF('PPC '!$O$12:$O$126,"X")</f>
        <v>9</v>
      </c>
      <c r="F31" s="1748"/>
    </row>
    <row r="32" spans="2:39">
      <c r="B32" s="2702" t="inlineStr">
        <is>
          <t xml:space="preserve">Actividades ejecutadas programadas</t>
        </is>
      </c>
      <c r="C32" s="2702"/>
      <c r="D32" s="1980">
        <f>COUNTIF('PPC '!$AH$11:$AH$126,"SI")</f>
        <v>5</v>
      </c>
      <c r="F32" s="1748"/>
    </row>
    <row r="33" spans="1:43">
      <c r="B33" s="2702" t="inlineStr">
        <is>
          <t xml:space="preserve">Actividades no ejecutadas</t>
        </is>
      </c>
      <c r="C33" s="2702"/>
      <c r="D33" s="1980">
        <f>D31-D32</f>
        <v>4</v>
      </c>
      <c r="F33" s="1748"/>
    </row>
    <row r="34" spans="1:43">
      <c r="B34" s="2702" t="inlineStr">
        <is>
          <t xml:space="preserve">Actividades ejecutadas no programadas </t>
        </is>
      </c>
      <c r="C34" s="2702"/>
      <c r="D34" s="1980">
        <f t="array" ref="D34">SUMPRODUCT(('PPC '!$O$11:$O$126&lt;&gt;"X")*('PPC '!$AG$11:$AG$126&gt;0)*('PPC '!$D$11:$D$126&lt;&gt;""))</f>
        <v>0</v>
      </c>
      <c r="F34" s="1748"/>
    </row>
    <row r="35" spans="1:43">
      <c r="B35" s="2700" t="inlineStr">
        <is>
          <t xml:space="preserve">% DE CUMPLIMIENTO - PAC </t>
        </is>
      </c>
      <c r="C35" s="2700"/>
      <c r="D35" s="1989">
        <f>IFERROR(D32/D31,0)</f>
        <v>0.55555555555555558</v>
      </c>
      <c r="F35" s="1748"/>
    </row>
    <row r="36" spans="1:43">
      <c r="B36" s="2700" t="inlineStr">
        <is>
          <t xml:space="preserve">% DE CUMPLIMIENTO - PAE</t>
        </is>
      </c>
      <c r="C36" s="2700"/>
      <c r="D36" s="1989">
        <f>IFERROR(D34/D31,0)</f>
        <v>0</v>
      </c>
      <c r="F36" s="1748"/>
    </row>
    <row r="37" spans="1:43">
      <c r="E37" s="1664"/>
    </row>
    <row r="38" spans="1:43">
      <c r="B38" s="2119"/>
      <c r="C38" s="1992"/>
      <c r="D38" s="1992"/>
      <c r="E38" s="1992"/>
      <c r="F38" s="1992"/>
      <c r="G38" s="1992"/>
      <c r="H38" s="2120"/>
      <c r="I38" s="2121"/>
      <c r="J38" s="2121"/>
      <c r="K38" s="2121"/>
      <c r="L38" s="1992"/>
      <c r="M38" s="1992"/>
      <c r="N38" s="1992"/>
      <c r="O38" s="1992"/>
      <c r="P38" s="1992"/>
      <c r="Q38" s="1992"/>
      <c r="R38" s="1992"/>
      <c r="S38" s="1992"/>
      <c r="T38" s="1992"/>
      <c r="U38" s="1992"/>
      <c r="V38" s="1993"/>
    </row>
    <row r="39" spans="1:43">
      <c r="B39" s="2123" t="inlineStr">
        <is>
          <t xml:space="preserve">TIPO</t>
        </is>
      </c>
      <c r="C39" s="2123" t="inlineStr">
        <is>
          <t xml:space="preserve">DESCRIPCIÓN</t>
        </is>
      </c>
      <c r="D39" s="2123">
        <v>27</v>
      </c>
      <c r="E39" s="2123">
        <v>28</v>
      </c>
      <c r="F39" s="2123">
        <v>29</v>
      </c>
      <c r="G39" s="2123">
        <v>30</v>
      </c>
      <c r="H39" s="2123">
        <v>31</v>
      </c>
      <c r="I39" s="2123">
        <v>32</v>
      </c>
      <c r="J39" s="2123">
        <v>33</v>
      </c>
      <c r="K39" s="2123">
        <v>34</v>
      </c>
      <c r="L39" s="2123">
        <v>35</v>
      </c>
      <c r="M39" s="2123">
        <v>36</v>
      </c>
      <c r="N39" s="2123">
        <v>37</v>
      </c>
      <c r="O39" s="2123">
        <v>38</v>
      </c>
      <c r="P39" s="2123">
        <v>39</v>
      </c>
      <c r="Q39" s="2124">
        <v>40</v>
      </c>
      <c r="R39" s="2124">
        <v>41</v>
      </c>
      <c r="S39" s="2124">
        <v>42</v>
      </c>
      <c r="T39" s="2124">
        <v>43</v>
      </c>
      <c r="U39" s="2124">
        <v>44</v>
      </c>
      <c r="V39" s="2124" t="inlineStr">
        <is>
          <t xml:space="preserve">TOTAL</t>
        </is>
      </c>
      <c r="Y39" s="1714"/>
      <c r="Z39" s="1714"/>
      <c r="AB39" s="1664"/>
      <c r="AC39" s="1664"/>
      <c r="AG39" s="1714"/>
      <c r="AH39" s="1714"/>
      <c r="AI39" s="1750"/>
      <c r="AJ39" s="2117"/>
      <c r="AK39" s="1664"/>
      <c r="AL39" s="1664"/>
      <c r="AM39" s="1664"/>
    </row>
    <row r="40" spans="1:43">
      <c r="B40" s="1990" t="inlineStr">
        <is>
          <t xml:space="preserve">CLI-MAT</t>
        </is>
      </c>
      <c r="C40" s="1991" t="inlineStr">
        <is>
          <t xml:space="preserve">CLIENTE - MATERIALES</t>
        </is>
      </c>
      <c r="D40" s="1990">
        <f>IF(D$39='Carátula (P)'!$C$17,COUNTIF('PPC '!$AI$11:$AI$126,$B40),0)</f>
        <v>0</v>
      </c>
      <c r="E40" s="1990">
        <f>IF(E$39='Carátula (P)'!$C$17,COUNTIF('PPC '!$AI$11:$AI$126,$B40),0)</f>
        <v>0</v>
      </c>
      <c r="F40" s="1990">
        <f>IF(F$39='Carátula (P)'!$C$17,COUNTIF('PPC '!$AI$11:$AI$126,$B40),0)</f>
        <v>0</v>
      </c>
      <c r="G40" s="1990">
        <f>IF(G$39='Carátula (P)'!$C$17,COUNTIF('PPC '!$AI$11:$AI$126,$B40),0)</f>
        <v>0</v>
      </c>
      <c r="H40" s="1990">
        <f>IF(H$39='Carátula (P)'!$C$17,COUNTIF('PPC '!$AI$11:$AI$126,$B40),0)</f>
        <v>0</v>
      </c>
      <c r="I40" s="1990">
        <f>IF(I$39='Carátula (P)'!$C$17,COUNTIF('PPC '!$AI$11:$AI$126,$B40),0)</f>
        <v>0</v>
      </c>
      <c r="J40" s="1990">
        <f>IF(J$39='Carátula (P)'!$C$17,COUNTIF('PPC '!$AI$11:$AI$126,$B40),0)</f>
        <v>0</v>
      </c>
      <c r="K40" s="1990">
        <f>IF(K$39='Carátula (P)'!$C$17,COUNTIF('PPC '!$AI$11:$AI$126,$B40),0)</f>
        <v>0</v>
      </c>
      <c r="L40" s="1990">
        <f>IF(L$39='Carátula (P)'!$C$17,COUNTIF('PPC '!$AI$11:$AI$126,$B40),0)</f>
        <v>0</v>
      </c>
      <c r="M40" s="1990">
        <f>IF(M$39='Carátula (P)'!$C$17,COUNTIF('PPC '!$AI$11:$AI$126,$B40),0)</f>
        <v>0</v>
      </c>
      <c r="N40" s="1990">
        <f>IF(N$39='Carátula (P)'!$C$17,COUNTIF('PPC '!$AI$11:$AI$126,$B40),0)</f>
        <v>0</v>
      </c>
      <c r="O40" s="1990">
        <f>IF(O$39='Carátula (P)'!$C$17,COUNTIF('PPC '!$AI$11:$AI$126,$B40),0)</f>
        <v>0</v>
      </c>
      <c r="P40" s="1990">
        <f>IF(P$39='Carátula (P)'!$C$17,COUNTIF('PPC '!$AI$11:$AI$126,$B40),0)</f>
        <v>0</v>
      </c>
      <c r="Q40" s="2015">
        <f>IF(Q$39='Carátula (P)'!$C$17,COUNTIF('PPC '!$AI$11:$AI$126,$B40),0)</f>
        <v>0</v>
      </c>
      <c r="R40" s="2015">
        <f>IF(R$39='Carátula (P)'!$C$17,COUNTIF('PPC '!$AI$11:$AI$126,$B40),0)</f>
        <v>0</v>
      </c>
      <c r="S40" s="2015">
        <f>IF(S$39='Carátula (P)'!$C$17,COUNTIF('PPC '!$AI$11:$AI$126,$B40),0)</f>
        <v>0</v>
      </c>
      <c r="T40" s="2015">
        <f>IF(T$39='Carátula (P)'!$C$17,COUNTIF('PPC '!$AI$11:$AI$126,$B40),0)</f>
        <v>0</v>
      </c>
      <c r="U40" s="2015">
        <f>IF(U$39='Carátula (P)'!$C$17,COUNTIF('PPC '!$AI$11:$AI$126,$B40),0)</f>
        <v>0</v>
      </c>
      <c r="V40" s="2125">
        <f t="shared" ref="V40:V53" si="0">SUM(D40:U40)</f>
        <v>0</v>
      </c>
      <c r="Y40" s="1714"/>
      <c r="Z40" s="1714"/>
      <c r="AB40" s="1664"/>
      <c r="AC40" s="1664"/>
      <c r="AG40" s="1714"/>
      <c r="AH40" s="1714"/>
      <c r="AI40" s="1750"/>
      <c r="AJ40" s="2117"/>
      <c r="AK40" s="1664"/>
      <c r="AL40" s="1664"/>
      <c r="AM40" s="1664"/>
    </row>
    <row r="41" spans="1:43">
      <c r="B41" s="1990" t="inlineStr">
        <is>
          <t xml:space="preserve">CLI-ING</t>
        </is>
      </c>
      <c r="C41" s="1991" t="inlineStr">
        <is>
          <t xml:space="preserve">CLIENTE - INGENIERÍA </t>
        </is>
      </c>
      <c r="D41" s="1990">
        <f>IF(D$39='Carátula (P)'!$C$17,COUNTIF('PPC '!$AI$11:$AI$126,$B41),0)</f>
        <v>0</v>
      </c>
      <c r="E41" s="1990">
        <f>IF(E$39='Carátula (P)'!$C$17,COUNTIF('PPC '!$AI$11:$AI$126,$B41),0)</f>
        <v>0</v>
      </c>
      <c r="F41" s="1990">
        <f>IF(F$39='Carátula (P)'!$C$17,COUNTIF('PPC '!$AI$11:$AI$126,$B41),0)</f>
        <v>0</v>
      </c>
      <c r="G41" s="1990">
        <f>IF(G$39='Carátula (P)'!$C$17,COUNTIF('PPC '!$AI$11:$AI$126,$B41),0)</f>
        <v>0</v>
      </c>
      <c r="H41" s="1990">
        <f>IF(H$39='Carátula (P)'!$C$17,COUNTIF('PPC '!$AI$11:$AI$126,$B41),0)</f>
        <v>0</v>
      </c>
      <c r="I41" s="1990">
        <f>IF(I$39='Carátula (P)'!$C$17,COUNTIF('PPC '!$AI$11:$AI$126,$B41),0)</f>
        <v>0</v>
      </c>
      <c r="J41" s="1990">
        <f>IF(J$39='Carátula (P)'!$C$17,COUNTIF('PPC '!$AI$11:$AI$126,$B41),0)</f>
        <v>0</v>
      </c>
      <c r="K41" s="1990">
        <f>IF(K$39='Carátula (P)'!$C$17,COUNTIF('PPC '!$AI$11:$AI$126,$B41),0)</f>
        <v>0</v>
      </c>
      <c r="L41" s="1990">
        <f>IF(L$39='Carátula (P)'!$C$17,COUNTIF('PPC '!$AI$11:$AI$126,$B41),0)</f>
        <v>0</v>
      </c>
      <c r="M41" s="1990">
        <f>IF(M$39='Carátula (P)'!$C$17,COUNTIF('PPC '!$AI$11:$AI$126,$B41),0)</f>
        <v>0</v>
      </c>
      <c r="N41" s="1990">
        <f>IF(N$39='Carátula (P)'!$C$17,COUNTIF('PPC '!$AI$11:$AI$126,$B41),0)</f>
        <v>0</v>
      </c>
      <c r="O41" s="1990">
        <f>IF(O$39='Carátula (P)'!$C$17,COUNTIF('PPC '!$AI$11:$AI$126,$B41),0)</f>
        <v>0</v>
      </c>
      <c r="P41" s="1990">
        <f>IF(P$39='Carátula (P)'!$C$17,COUNTIF('PPC '!$AI$11:$AI$126,$B41),0)</f>
        <v>0</v>
      </c>
      <c r="Q41" s="2015">
        <f>IF(Q$39='Carátula (P)'!$C$17,COUNTIF('PPC '!$AI$11:$AI$126,$B41),0)</f>
        <v>0</v>
      </c>
      <c r="R41" s="2015">
        <f>IF(R$39='Carátula (P)'!$C$17,COUNTIF('PPC '!$AI$11:$AI$126,$B41),0)</f>
        <v>0</v>
      </c>
      <c r="S41" s="2015">
        <f>IF(S$39='Carátula (P)'!$C$17,COUNTIF('PPC '!$AI$11:$AI$126,$B41),0)</f>
        <v>0</v>
      </c>
      <c r="T41" s="2015">
        <f>IF(T$39='Carátula (P)'!$C$17,COUNTIF('PPC '!$AI$11:$AI$126,$B41),0)</f>
        <v>0</v>
      </c>
      <c r="U41" s="2015">
        <f>IF(U$39='Carátula (P)'!$C$17,COUNTIF('PPC '!$AI$11:$AI$126,$B41),0)</f>
        <v>0</v>
      </c>
      <c r="V41" s="2125">
        <f t="shared" si="0"/>
        <v>0</v>
      </c>
      <c r="Y41" s="1714"/>
      <c r="Z41" s="1714"/>
      <c r="AB41" s="1664"/>
      <c r="AC41" s="1664"/>
      <c r="AG41" s="1714"/>
      <c r="AH41" s="1714"/>
      <c r="AI41" s="1750"/>
      <c r="AJ41" s="2117"/>
      <c r="AK41" s="1664"/>
      <c r="AL41" s="1664"/>
      <c r="AM41" s="1664"/>
    </row>
    <row r="42" spans="1:43">
      <c r="B42" s="1990" t="inlineStr">
        <is>
          <t xml:space="preserve">CLI-PRI</t>
        </is>
      </c>
      <c r="C42" s="1991" t="inlineStr">
        <is>
          <t xml:space="preserve">CLIENTE - PRIORIDADES </t>
        </is>
      </c>
      <c r="D42" s="1990">
        <f>IF(D$39='Carátula (P)'!$C$17,COUNTIF('PPC '!$AI$11:$AI$126,$B42),0)</f>
        <v>0</v>
      </c>
      <c r="E42" s="1990">
        <f>IF(E$39='Carátula (P)'!$C$17,COUNTIF('PPC '!$AI$11:$AI$126,$B42),0)</f>
        <v>0</v>
      </c>
      <c r="F42" s="1990">
        <f>IF(F$39='Carátula (P)'!$C$17,COUNTIF('PPC '!$AI$11:$AI$126,$B42),0)</f>
        <v>0</v>
      </c>
      <c r="G42" s="1990">
        <f>IF(G$39='Carátula (P)'!$C$17,COUNTIF('PPC '!$AI$11:$AI$126,$B42),0)</f>
        <v>0</v>
      </c>
      <c r="H42" s="1990">
        <f>IF(H$39='Carátula (P)'!$C$17,COUNTIF('PPC '!$AI$11:$AI$126,$B42),0)</f>
        <v>0</v>
      </c>
      <c r="I42" s="1990">
        <f>IF(I$39='Carátula (P)'!$C$17,COUNTIF('PPC '!$AI$11:$AI$126,$B42),0)</f>
        <v>0</v>
      </c>
      <c r="J42" s="1990">
        <f>IF(J$39='Carátula (P)'!$C$17,COUNTIF('PPC '!$AI$11:$AI$126,$B42),0)</f>
        <v>0</v>
      </c>
      <c r="K42" s="1990">
        <f>IF(K$39='Carátula (P)'!$C$17,COUNTIF('PPC '!$AI$11:$AI$126,$B42),0)</f>
        <v>0</v>
      </c>
      <c r="L42" s="1990">
        <f>IF(L$39='Carátula (P)'!$C$17,COUNTIF('PPC '!$AI$11:$AI$126,$B42),0)</f>
        <v>0</v>
      </c>
      <c r="M42" s="1990">
        <f>IF(M$39='Carátula (P)'!$C$17,COUNTIF('PPC '!$AI$11:$AI$126,$B42),0)</f>
        <v>0</v>
      </c>
      <c r="N42" s="1990">
        <f>IF(N$39='Carátula (P)'!$C$17,COUNTIF('PPC '!$AI$11:$AI$126,$B42),0)</f>
        <v>0</v>
      </c>
      <c r="O42" s="1990">
        <f>IF(O$39='Carátula (P)'!$C$17,COUNTIF('PPC '!$AI$11:$AI$126,$B42),0)</f>
        <v>0</v>
      </c>
      <c r="P42" s="1990">
        <f>IF(P$39='Carátula (P)'!$C$17,COUNTIF('PPC '!$AI$11:$AI$126,$B42),0)</f>
        <v>0</v>
      </c>
      <c r="Q42" s="2015">
        <f>IF(Q$39='Carátula (P)'!$C$17,COUNTIF('PPC '!$AI$11:$AI$126,$B42),0)</f>
        <v>0</v>
      </c>
      <c r="R42" s="2015">
        <f>IF(R$39='Carátula (P)'!$C$17,COUNTIF('PPC '!$AI$11:$AI$126,$B42),0)</f>
        <v>0</v>
      </c>
      <c r="S42" s="2015">
        <f>IF(S$39='Carátula (P)'!$C$17,COUNTIF('PPC '!$AI$11:$AI$126,$B42),0)</f>
        <v>0</v>
      </c>
      <c r="T42" s="2015">
        <f>IF(T$39='Carátula (P)'!$C$17,COUNTIF('PPC '!$AI$11:$AI$126,$B42),0)</f>
        <v>0</v>
      </c>
      <c r="U42" s="2015">
        <f>IF(U$39='Carátula (P)'!$C$17,COUNTIF('PPC '!$AI$11:$AI$126,$B42),0)</f>
        <v>0</v>
      </c>
      <c r="V42" s="2125">
        <f t="shared" si="0"/>
        <v>0</v>
      </c>
      <c r="Y42" s="1714"/>
      <c r="Z42" s="1714"/>
      <c r="AB42" s="1664"/>
      <c r="AC42" s="1664"/>
      <c r="AG42" s="1714"/>
      <c r="AH42" s="1714"/>
      <c r="AI42" s="1750"/>
      <c r="AJ42" s="2117"/>
      <c r="AK42" s="1664"/>
      <c r="AL42" s="1664"/>
      <c r="AM42" s="1664"/>
    </row>
    <row r="43" spans="1:43">
      <c r="B43" s="1990" t="inlineStr">
        <is>
          <t xml:space="preserve">CLI-CAM</t>
        </is>
      </c>
      <c r="C43" s="1991" t="inlineStr">
        <is>
          <t xml:space="preserve">CLIENTE - CAMBIO</t>
        </is>
      </c>
      <c r="D43" s="1990">
        <f>IF(D$39='Carátula (P)'!$C$17,COUNTIF('PPC '!$AI$11:$AI$126,$B43),0)</f>
        <v>0</v>
      </c>
      <c r="E43" s="1990">
        <f>IF(E$39='Carátula (P)'!$C$17,COUNTIF('PPC '!$AI$11:$AI$126,$B43),0)</f>
        <v>0</v>
      </c>
      <c r="F43" s="1990">
        <f>IF(F$39='Carátula (P)'!$C$17,COUNTIF('PPC '!$AI$11:$AI$126,$B43),0)</f>
        <v>0</v>
      </c>
      <c r="G43" s="1990">
        <f>IF(G$39='Carátula (P)'!$C$17,COUNTIF('PPC '!$AI$11:$AI$126,$B43),0)</f>
        <v>0</v>
      </c>
      <c r="H43" s="1990">
        <f>IF(H$39='Carátula (P)'!$C$17,COUNTIF('PPC '!$AI$11:$AI$126,$B43),0)</f>
        <v>0</v>
      </c>
      <c r="I43" s="1990">
        <f>IF(I$39='Carátula (P)'!$C$17,COUNTIF('PPC '!$AI$11:$AI$126,$B43),0)</f>
        <v>0</v>
      </c>
      <c r="J43" s="1990">
        <f>IF(J$39='Carátula (P)'!$C$17,COUNTIF('PPC '!$AI$11:$AI$126,$B43),0)</f>
        <v>4</v>
      </c>
      <c r="K43" s="1990">
        <f>IF(K$39='Carátula (P)'!$C$17,COUNTIF('PPC '!$AI$11:$AI$126,$B43),0)</f>
        <v>0</v>
      </c>
      <c r="L43" s="1990">
        <f>IF(L$39='Carátula (P)'!$C$17,COUNTIF('PPC '!$AI$11:$AI$126,$B43),0)</f>
        <v>0</v>
      </c>
      <c r="M43" s="1990">
        <f>IF(M$39='Carátula (P)'!$C$17,COUNTIF('PPC '!$AI$11:$AI$126,$B43),0)</f>
        <v>0</v>
      </c>
      <c r="N43" s="1990">
        <f>IF(N$39='Carátula (P)'!$C$17,COUNTIF('PPC '!$AI$11:$AI$126,$B43),0)</f>
        <v>0</v>
      </c>
      <c r="O43" s="1990">
        <f>IF(O$39='Carátula (P)'!$C$17,COUNTIF('PPC '!$AI$11:$AI$126,$B43),0)</f>
        <v>0</v>
      </c>
      <c r="P43" s="1990">
        <f>IF(P$39='Carátula (P)'!$C$17,COUNTIF('PPC '!$AI$11:$AI$126,$B43),0)</f>
        <v>0</v>
      </c>
      <c r="Q43" s="2015">
        <f>IF(Q$39='Carátula (P)'!$C$17,COUNTIF('PPC '!$AI$11:$AI$126,$B43),0)</f>
        <v>0</v>
      </c>
      <c r="R43" s="2015">
        <f>IF(R$39='Carátula (P)'!$C$17,COUNTIF('PPC '!$AI$11:$AI$126,$B43),0)</f>
        <v>0</v>
      </c>
      <c r="S43" s="2015">
        <f>IF(S$39='Carátula (P)'!$C$17,COUNTIF('PPC '!$AI$11:$AI$126,$B43),0)</f>
        <v>0</v>
      </c>
      <c r="T43" s="2015">
        <f>IF(T$39='Carátula (P)'!$C$17,COUNTIF('PPC '!$AI$11:$AI$126,$B43),0)</f>
        <v>0</v>
      </c>
      <c r="U43" s="2015">
        <f>IF(U$39='Carátula (P)'!$C$17,COUNTIF('PPC '!$AI$11:$AI$126,$B43),0)</f>
        <v>0</v>
      </c>
      <c r="V43" s="2125">
        <f t="shared" si="0"/>
        <v>4</v>
      </c>
      <c r="Y43" s="1714"/>
      <c r="Z43" s="1714"/>
      <c r="AB43" s="1664"/>
      <c r="AC43" s="1664"/>
      <c r="AG43" s="1714"/>
      <c r="AH43" s="1714"/>
      <c r="AI43" s="1750"/>
      <c r="AJ43" s="2117"/>
      <c r="AK43" s="1664"/>
      <c r="AL43" s="1664"/>
      <c r="AM43" s="1664"/>
    </row>
    <row r="44" spans="1:43" s="1748" customFormat="1">
      <c r="A44" s="1664"/>
      <c r="B44" s="1990" t="inlineStr">
        <is>
          <t xml:space="preserve">MAT</t>
        </is>
      </c>
      <c r="C44" s="1991" t="inlineStr">
        <is>
          <t xml:space="preserve">MATERIALES</t>
        </is>
      </c>
      <c r="D44" s="1990">
        <f>IF(D$39='Carátula (P)'!$C$17,COUNTIF('PPC '!$AI$11:$AI$126,$B44),0)</f>
        <v>0</v>
      </c>
      <c r="E44" s="1990">
        <f>IF(E$39='Carátula (P)'!$C$17,COUNTIF('PPC '!$AI$11:$AI$126,$B44),0)</f>
        <v>0</v>
      </c>
      <c r="F44" s="1990">
        <f>IF(F$39='Carátula (P)'!$C$17,COUNTIF('PPC '!$AI$11:$AI$126,$B44),0)</f>
        <v>0</v>
      </c>
      <c r="G44" s="1990">
        <f>IF(G$39='Carátula (P)'!$C$17,COUNTIF('PPC '!$AI$11:$AI$126,$B44),0)</f>
        <v>0</v>
      </c>
      <c r="H44" s="1990">
        <f>IF(H$39='Carátula (P)'!$C$17,COUNTIF('PPC '!$AI$11:$AI$126,$B44),0)</f>
        <v>0</v>
      </c>
      <c r="I44" s="1990">
        <f>IF(I$39='Carátula (P)'!$C$17,COUNTIF('PPC '!$AI$11:$AI$126,$B44),0)</f>
        <v>0</v>
      </c>
      <c r="J44" s="1990">
        <f>IF(J$39='Carátula (P)'!$C$17,COUNTIF('PPC '!$AI$11:$AI$126,$B44),0)</f>
        <v>0</v>
      </c>
      <c r="K44" s="1990">
        <f>IF(K$39='Carátula (P)'!$C$17,COUNTIF('PPC '!$AI$11:$AI$126,$B44),0)</f>
        <v>0</v>
      </c>
      <c r="L44" s="1990">
        <f>IF(L$39='Carátula (P)'!$C$17,COUNTIF('PPC '!$AI$11:$AI$126,$B44),0)</f>
        <v>0</v>
      </c>
      <c r="M44" s="1990">
        <f>IF(M$39='Carátula (P)'!$C$17,COUNTIF('PPC '!$AI$11:$AI$126,$B44),0)</f>
        <v>0</v>
      </c>
      <c r="N44" s="1990">
        <f>IF(N$39='Carátula (P)'!$C$17,COUNTIF('PPC '!$AI$11:$AI$126,$B44),0)</f>
        <v>0</v>
      </c>
      <c r="O44" s="1990">
        <f>IF(O$39='Carátula (P)'!$C$17,COUNTIF('PPC '!$AI$11:$AI$126,$B44),0)</f>
        <v>0</v>
      </c>
      <c r="P44" s="1990">
        <f>IF(P$39='Carátula (P)'!$C$17,COUNTIF('PPC '!$AI$11:$AI$126,$B44),0)</f>
        <v>0</v>
      </c>
      <c r="Q44" s="2015">
        <f>IF(Q$39='Carátula (P)'!$C$17,COUNTIF('PPC '!$AI$11:$AI$126,$B44),0)</f>
        <v>0</v>
      </c>
      <c r="R44" s="2015">
        <f>IF(R$39='Carátula (P)'!$C$17,COUNTIF('PPC '!$AI$11:$AI$126,$B44),0)</f>
        <v>0</v>
      </c>
      <c r="S44" s="2032">
        <f>IF(S$39='Carátula (P)'!$C$17,COUNTIF('PPC '!$AI$11:$AI$126,$B44),0)</f>
        <v>0</v>
      </c>
      <c r="T44" s="2032">
        <f>IF(T$39='Carátula (P)'!$C$17,COUNTIF('PPC '!$AI$11:$AI$126,$B44),0)</f>
        <v>0</v>
      </c>
      <c r="U44" s="2015">
        <f>IF(U$39='Carátula (P)'!$C$17,COUNTIF('PPC '!$AI$11:$AI$126,$B44),0)</f>
        <v>0</v>
      </c>
      <c r="V44" s="2125">
        <f t="shared" si="0"/>
        <v>0</v>
      </c>
      <c r="W44" s="1664"/>
      <c r="X44" s="1664"/>
      <c r="Y44" s="1714"/>
      <c r="Z44" s="1714"/>
      <c r="AA44" s="1664"/>
      <c r="AB44" s="1664"/>
      <c r="AC44" s="1664"/>
      <c r="AD44" s="1664"/>
      <c r="AE44" s="1664"/>
      <c r="AF44" s="1664"/>
      <c r="AG44" s="1714"/>
      <c r="AH44" s="1714"/>
      <c r="AI44" s="1750"/>
      <c r="AJ44" s="2117"/>
      <c r="AK44" s="1664"/>
      <c r="AL44" s="1664"/>
      <c r="AM44" s="1664"/>
      <c r="AN44" s="1664"/>
      <c r="AO44" s="1664"/>
      <c r="AP44" s="1664"/>
      <c r="AQ44" s="1664"/>
    </row>
    <row r="45" spans="1:43" s="1748" customFormat="1">
      <c r="A45" s="1664"/>
      <c r="B45" s="1990" t="inlineStr">
        <is>
          <t xml:space="preserve">REC</t>
        </is>
      </c>
      <c r="C45" s="1991" t="inlineStr">
        <is>
          <t xml:space="preserve">RECURSOS </t>
        </is>
      </c>
      <c r="D45" s="1990">
        <f>IF(D$39='Carátula (P)'!$C$17,COUNTIF('PPC '!$AI$11:$AI$126,$B45),0)</f>
        <v>0</v>
      </c>
      <c r="E45" s="1990">
        <f>IF(E$39='Carátula (P)'!$C$17,COUNTIF('PPC '!$AI$11:$AI$126,$B45),0)</f>
        <v>0</v>
      </c>
      <c r="F45" s="1990">
        <f>IF(F$39='Carátula (P)'!$C$17,COUNTIF('PPC '!$AI$11:$AI$126,$B45),0)</f>
        <v>0</v>
      </c>
      <c r="G45" s="1990">
        <f>IF(G$39='Carátula (P)'!$C$17,COUNTIF('PPC '!$AI$11:$AI$126,$B45),0)</f>
        <v>0</v>
      </c>
      <c r="H45" s="1990">
        <f>IF(H$39='Carátula (P)'!$C$17,COUNTIF('PPC '!$AI$11:$AI$126,$B45),0)</f>
        <v>0</v>
      </c>
      <c r="I45" s="1990">
        <f>IF(I$39='Carátula (P)'!$C$17,COUNTIF('PPC '!$AI$11:$AI$126,$B45),0)</f>
        <v>0</v>
      </c>
      <c r="J45" s="1990">
        <f>IF(J$39='Carátula (P)'!$C$17,COUNTIF('PPC '!$AI$11:$AI$126,$B45),0)</f>
        <v>0</v>
      </c>
      <c r="K45" s="1990">
        <f>IF(K$39='Carátula (P)'!$C$17,COUNTIF('PPC '!$AI$11:$AI$126,$B45),0)</f>
        <v>0</v>
      </c>
      <c r="L45" s="1990">
        <f>IF(L$39='Carátula (P)'!$C$17,COUNTIF('PPC '!$AI$11:$AI$126,$B45),0)</f>
        <v>0</v>
      </c>
      <c r="M45" s="1990">
        <f>IF(M$39='Carátula (P)'!$C$17,COUNTIF('PPC '!$AI$11:$AI$126,$B45),0)</f>
        <v>0</v>
      </c>
      <c r="N45" s="1990">
        <f>IF(N$39='Carátula (P)'!$C$17,COUNTIF('PPC '!$AI$11:$AI$126,$B45),0)</f>
        <v>0</v>
      </c>
      <c r="O45" s="1990">
        <f>IF(O$39='Carátula (P)'!$C$17,COUNTIF('PPC '!$AI$11:$AI$126,$B45),0)</f>
        <v>0</v>
      </c>
      <c r="P45" s="1990">
        <f>IF(P$39='Carátula (P)'!$C$17,COUNTIF('PPC '!$AI$11:$AI$126,$B45),0)</f>
        <v>0</v>
      </c>
      <c r="Q45" s="2015">
        <f>IF(Q$39='Carátula (P)'!$C$17,COUNTIF('PPC '!$AI$11:$AI$126,$B45),0)</f>
        <v>0</v>
      </c>
      <c r="R45" s="2015">
        <f>IF(R$39='Carátula (P)'!$C$17,COUNTIF('PPC '!$AI$11:$AI$126,$B45),0)</f>
        <v>0</v>
      </c>
      <c r="S45" s="2032">
        <f>IF(S$39='Carátula (P)'!$C$17,COUNTIF('PPC '!$AI$11:$AI$126,$B45),0)</f>
        <v>0</v>
      </c>
      <c r="T45" s="2032">
        <f>IF(T$39='Carátula (P)'!$C$17,COUNTIF('PPC '!$AI$11:$AI$126,$B45),0)</f>
        <v>0</v>
      </c>
      <c r="U45" s="2015">
        <f>IF(U$39='Carátula (P)'!$C$17,COUNTIF('PPC '!$AI$11:$AI$126,$B45),0)</f>
        <v>0</v>
      </c>
      <c r="V45" s="2125">
        <f t="shared" si="0"/>
        <v>0</v>
      </c>
      <c r="W45" s="1664"/>
      <c r="X45" s="1664"/>
      <c r="Y45" s="1714"/>
      <c r="Z45" s="1714"/>
      <c r="AA45" s="1664"/>
      <c r="AB45" s="1664"/>
      <c r="AC45" s="1664"/>
      <c r="AD45" s="1664"/>
      <c r="AE45" s="1664"/>
      <c r="AF45" s="1664"/>
      <c r="AG45" s="1714"/>
      <c r="AH45" s="1714"/>
      <c r="AI45" s="1750"/>
      <c r="AJ45" s="2117"/>
      <c r="AK45" s="1664"/>
      <c r="AL45" s="1664"/>
      <c r="AM45" s="1664"/>
      <c r="AN45" s="1664"/>
      <c r="AO45" s="1664"/>
      <c r="AP45" s="1664"/>
      <c r="AQ45" s="1664"/>
    </row>
    <row r="46" spans="1:43" s="1748" customFormat="1">
      <c r="A46" s="1664"/>
      <c r="B46" s="1990" t="inlineStr">
        <is>
          <t xml:space="preserve">EP</t>
        </is>
      </c>
      <c r="C46" s="1991" t="inlineStr">
        <is>
          <t xml:space="preserve">ERROR PLANIFICACION</t>
        </is>
      </c>
      <c r="D46" s="1990">
        <f>IF(D$39='Carátula (P)'!$C$17,COUNTIF('PPC '!$AI$11:$AI$126,$B46),0)</f>
        <v>0</v>
      </c>
      <c r="E46" s="1990">
        <f>IF(E$39='Carátula (P)'!$C$17,COUNTIF('PPC '!$AI$11:$AI$126,$B46),0)</f>
        <v>0</v>
      </c>
      <c r="F46" s="1990">
        <f>IF(F$39='Carátula (P)'!$C$17,COUNTIF('PPC '!$AI$11:$AI$126,$B46),0)</f>
        <v>0</v>
      </c>
      <c r="G46" s="1990">
        <f>IF(G$39='Carátula (P)'!$C$17,COUNTIF('PPC '!$AI$11:$AI$126,$B46),0)</f>
        <v>0</v>
      </c>
      <c r="H46" s="1990">
        <f>IF(H$39='Carátula (P)'!$C$17,COUNTIF('PPC '!$AI$11:$AI$126,$B46),0)</f>
        <v>0</v>
      </c>
      <c r="I46" s="1990">
        <f>IF(I$39='Carátula (P)'!$C$17,COUNTIF('PPC '!$AI$11:$AI$126,$B46),0)</f>
        <v>0</v>
      </c>
      <c r="J46" s="1990">
        <f>IF(J$39='Carátula (P)'!$C$17,COUNTIF('PPC '!$AI$11:$AI$126,$B46),0)</f>
        <v>0</v>
      </c>
      <c r="K46" s="1990">
        <f>IF(K$39='Carátula (P)'!$C$17,COUNTIF('PPC '!$AI$11:$AI$126,$B46),0)</f>
        <v>0</v>
      </c>
      <c r="L46" s="1990">
        <f>IF(L$39='Carátula (P)'!$C$17,COUNTIF('PPC '!$AI$11:$AI$126,$B46),0)</f>
        <v>0</v>
      </c>
      <c r="M46" s="1990">
        <f>IF(M$39='Carátula (P)'!$C$17,COUNTIF('PPC '!$AI$11:$AI$126,$B46),0)</f>
        <v>0</v>
      </c>
      <c r="N46" s="1990">
        <f>IF(N$39='Carátula (P)'!$C$17,COUNTIF('PPC '!$AI$11:$AI$126,$B46),0)</f>
        <v>0</v>
      </c>
      <c r="O46" s="1990">
        <f>IF(O$39='Carátula (P)'!$C$17,COUNTIF('PPC '!$AI$11:$AI$126,$B46),0)</f>
        <v>0</v>
      </c>
      <c r="P46" s="1990">
        <f>IF(P$39='Carátula (P)'!$C$17,COUNTIF('PPC '!$AI$11:$AI$126,$B46),0)</f>
        <v>0</v>
      </c>
      <c r="Q46" s="2015">
        <f>IF(Q$39='Carátula (P)'!$C$17,COUNTIF('PPC '!$AI$11:$AI$126,$B46),0)</f>
        <v>0</v>
      </c>
      <c r="R46" s="2015">
        <f>IF(R$39='Carátula (P)'!$C$17,COUNTIF('PPC '!$AI$11:$AI$126,$B46),0)</f>
        <v>0</v>
      </c>
      <c r="S46" s="2032">
        <f>IF(S$39='Carátula (P)'!$C$17,COUNTIF('PPC '!$AI$11:$AI$126,$B46),0)</f>
        <v>0</v>
      </c>
      <c r="T46" s="2032">
        <f>IF(T$39='Carátula (P)'!$C$17,COUNTIF('PPC '!$AI$11:$AI$126,$B46),0)</f>
        <v>0</v>
      </c>
      <c r="U46" s="2015">
        <f>IF(U$39='Carátula (P)'!$C$17,COUNTIF('PPC '!$AI$11:$AI$126,$B46),0)</f>
        <v>0</v>
      </c>
      <c r="V46" s="2125">
        <f t="shared" si="0"/>
        <v>0</v>
      </c>
      <c r="W46" s="1664"/>
      <c r="X46" s="1664"/>
      <c r="Y46" s="1714"/>
      <c r="Z46" s="1714"/>
      <c r="AA46" s="1664"/>
      <c r="AB46" s="1664"/>
      <c r="AC46" s="1664"/>
      <c r="AD46" s="1664"/>
      <c r="AE46" s="1664"/>
      <c r="AF46" s="1664"/>
      <c r="AG46" s="1714"/>
      <c r="AH46" s="1714"/>
      <c r="AI46" s="1750"/>
      <c r="AJ46" s="2117"/>
      <c r="AK46" s="1664"/>
      <c r="AL46" s="1664"/>
      <c r="AM46" s="1664"/>
      <c r="AN46" s="1664"/>
      <c r="AO46" s="1664"/>
      <c r="AP46" s="1664"/>
      <c r="AQ46" s="1664"/>
    </row>
    <row r="47" spans="1:43" s="1748" customFormat="1">
      <c r="A47" s="1664"/>
      <c r="B47" s="1990" t="inlineStr">
        <is>
          <t xml:space="preserve">DOC</t>
        </is>
      </c>
      <c r="C47" s="1991" t="inlineStr">
        <is>
          <t xml:space="preserve">DOCUMENTACION TECNICA</t>
        </is>
      </c>
      <c r="D47" s="1990">
        <f>IF(D$39='Carátula (P)'!$C$17,COUNTIF('PPC '!$AI$11:$AI$126,$B47),0)</f>
        <v>0</v>
      </c>
      <c r="E47" s="1990">
        <f>IF(E$39='Carátula (P)'!$C$17,COUNTIF('PPC '!$AI$11:$AI$126,$B47),0)</f>
        <v>0</v>
      </c>
      <c r="F47" s="1990">
        <f>IF(F$39='Carátula (P)'!$C$17,COUNTIF('PPC '!$AI$11:$AI$126,$B47),0)</f>
        <v>0</v>
      </c>
      <c r="G47" s="1990">
        <f>IF(G$39='Carátula (P)'!$C$17,COUNTIF('PPC '!$AI$11:$AI$126,$B47),0)</f>
        <v>0</v>
      </c>
      <c r="H47" s="1990">
        <f>IF(H$39='Carátula (P)'!$C$17,COUNTIF('PPC '!$AI$11:$AI$126,$B47),0)</f>
        <v>0</v>
      </c>
      <c r="I47" s="1990">
        <f>IF(I$39='Carátula (P)'!$C$17,COUNTIF('PPC '!$AI$11:$AI$126,$B47),0)</f>
        <v>0</v>
      </c>
      <c r="J47" s="1990">
        <f>IF(J$39='Carátula (P)'!$C$17,COUNTIF('PPC '!$AI$11:$AI$126,$B47),0)</f>
        <v>0</v>
      </c>
      <c r="K47" s="1990">
        <f>IF(K$39='Carátula (P)'!$C$17,COUNTIF('PPC '!$AI$11:$AI$126,$B47),0)</f>
        <v>0</v>
      </c>
      <c r="L47" s="1990">
        <f>IF(L$39='Carátula (P)'!$C$17,COUNTIF('PPC '!$AI$11:$AI$126,$B47),0)</f>
        <v>0</v>
      </c>
      <c r="M47" s="1990">
        <f>IF(M$39='Carátula (P)'!$C$17,COUNTIF('PPC '!$AI$11:$AI$126,$B47),0)</f>
        <v>0</v>
      </c>
      <c r="N47" s="1990">
        <f>IF(N$39='Carátula (P)'!$C$17,COUNTIF('PPC '!$AI$11:$AI$126,$B47),0)</f>
        <v>0</v>
      </c>
      <c r="O47" s="1990">
        <f>IF(O$39='Carátula (P)'!$C$17,COUNTIF('PPC '!$AI$11:$AI$126,$B47),0)</f>
        <v>0</v>
      </c>
      <c r="P47" s="1990">
        <f>IF(P$39='Carátula (P)'!$C$17,COUNTIF('PPC '!$AI$11:$AI$126,$B47),0)</f>
        <v>0</v>
      </c>
      <c r="Q47" s="2015">
        <f>IF(Q$39='Carátula (P)'!$C$17,COUNTIF('PPC '!$AI$11:$AI$126,$B47),0)</f>
        <v>0</v>
      </c>
      <c r="R47" s="2015">
        <f>IF(R$39='Carátula (P)'!$C$17,COUNTIF('PPC '!$AI$11:$AI$126,$B47),0)</f>
        <v>0</v>
      </c>
      <c r="S47" s="2032">
        <f>IF(S$39='Carátula (P)'!$C$17,COUNTIF('PPC '!$AI$11:$AI$126,$B47),0)</f>
        <v>0</v>
      </c>
      <c r="T47" s="2032">
        <f>IF(T$39='Carátula (P)'!$C$17,COUNTIF('PPC '!$AI$11:$AI$126,$B47),0)</f>
        <v>0</v>
      </c>
      <c r="U47" s="2015">
        <f>IF(U$39='Carátula (P)'!$C$17,COUNTIF('PPC '!$AI$11:$AI$126,$B47),0)</f>
        <v>0</v>
      </c>
      <c r="V47" s="2125">
        <f t="shared" si="0"/>
        <v>0</v>
      </c>
      <c r="W47" s="1664"/>
      <c r="X47" s="1664"/>
      <c r="Y47" s="1714"/>
      <c r="Z47" s="1714"/>
      <c r="AA47" s="1664"/>
      <c r="AB47" s="1664"/>
      <c r="AC47" s="1664"/>
      <c r="AD47" s="1664"/>
      <c r="AE47" s="1664"/>
      <c r="AF47" s="1664"/>
      <c r="AG47" s="1714"/>
      <c r="AH47" s="1714"/>
      <c r="AI47" s="1750"/>
      <c r="AJ47" s="2117"/>
      <c r="AK47" s="1664"/>
      <c r="AL47" s="1664"/>
      <c r="AM47" s="1664"/>
      <c r="AN47" s="1664"/>
      <c r="AO47" s="1664"/>
      <c r="AP47" s="1664"/>
      <c r="AQ47" s="1664"/>
    </row>
    <row r="48" spans="1:43" s="1748" customFormat="1">
      <c r="A48" s="1664"/>
      <c r="B48" s="1990" t="inlineStr">
        <is>
          <t xml:space="preserve">ACT-PREV</t>
        </is>
      </c>
      <c r="C48" s="1991" t="inlineStr">
        <is>
          <t xml:space="preserve">ACTIVIDADES PREVIAS </t>
        </is>
      </c>
      <c r="D48" s="1990">
        <f>IF(D$39='Carátula (P)'!$C$17,COUNTIF('PPC '!$AI$11:$AI$126,$B48),0)</f>
        <v>0</v>
      </c>
      <c r="E48" s="1990">
        <f>IF(E$39='Carátula (P)'!$C$17,COUNTIF('PPC '!$AI$11:$AI$126,$B48),0)</f>
        <v>0</v>
      </c>
      <c r="F48" s="1990">
        <f>IF(F$39='Carátula (P)'!$C$17,COUNTIF('PPC '!$AI$11:$AI$126,$B48),0)</f>
        <v>0</v>
      </c>
      <c r="G48" s="1990">
        <f>IF(G$39='Carátula (P)'!$C$17,COUNTIF('PPC '!$AI$11:$AI$126,$B48),0)</f>
        <v>0</v>
      </c>
      <c r="H48" s="1990">
        <f>IF(H$39='Carátula (P)'!$C$17,COUNTIF('PPC '!$AI$11:$AI$126,$B48),0)</f>
        <v>0</v>
      </c>
      <c r="I48" s="1990">
        <f>IF(I$39='Carátula (P)'!$C$17,COUNTIF('PPC '!$AI$11:$AI$126,$B48),0)</f>
        <v>0</v>
      </c>
      <c r="J48" s="1990">
        <f>IF(J$39='Carátula (P)'!$C$17,COUNTIF('PPC '!$AI$11:$AI$126,$B48),0)</f>
        <v>0</v>
      </c>
      <c r="K48" s="1990">
        <f>IF(K$39='Carátula (P)'!$C$17,COUNTIF('PPC '!$AI$11:$AI$126,$B48),0)</f>
        <v>0</v>
      </c>
      <c r="L48" s="1990">
        <f>IF(L$39='Carátula (P)'!$C$17,COUNTIF('PPC '!$AI$11:$AI$126,$B48),0)</f>
        <v>0</v>
      </c>
      <c r="M48" s="1990">
        <f>IF(M$39='Carátula (P)'!$C$17,COUNTIF('PPC '!$AI$11:$AI$126,$B48),0)</f>
        <v>0</v>
      </c>
      <c r="N48" s="1990">
        <f>IF(N$39='Carátula (P)'!$C$17,COUNTIF('PPC '!$AI$11:$AI$126,$B48),0)</f>
        <v>0</v>
      </c>
      <c r="O48" s="1990">
        <f>IF(O$39='Carátula (P)'!$C$17,COUNTIF('PPC '!$AI$11:$AI$126,$B48),0)</f>
        <v>0</v>
      </c>
      <c r="P48" s="1990">
        <f>IF(P$39='Carátula (P)'!$C$17,COUNTIF('PPC '!$AI$11:$AI$126,$B48),0)</f>
        <v>0</v>
      </c>
      <c r="Q48" s="2015">
        <f>IF(Q$39='Carátula (P)'!$C$17,COUNTIF('PPC '!$AI$11:$AI$126,$B48),0)</f>
        <v>0</v>
      </c>
      <c r="R48" s="2015">
        <f>IF(R$39='Carátula (P)'!$C$17,COUNTIF('PPC '!$AI$11:$AI$126,$B48),0)</f>
        <v>0</v>
      </c>
      <c r="S48" s="2032">
        <f>IF(S$39='Carátula (P)'!$C$17,COUNTIF('PPC '!$AI$11:$AI$126,$B48),0)</f>
        <v>0</v>
      </c>
      <c r="T48" s="2032">
        <f>IF(T$39='Carátula (P)'!$C$17,COUNTIF('PPC '!$AI$11:$AI$126,$B48),0)</f>
        <v>0</v>
      </c>
      <c r="U48" s="2015">
        <f>IF(U$39='Carátula (P)'!$C$17,COUNTIF('PPC '!$AI$11:$AI$126,$B48),0)</f>
        <v>0</v>
      </c>
      <c r="V48" s="2125">
        <f t="shared" si="0"/>
        <v>0</v>
      </c>
      <c r="W48" s="1664"/>
      <c r="X48" s="1664"/>
      <c r="Y48" s="1714"/>
      <c r="Z48" s="1714"/>
      <c r="AA48" s="1664"/>
      <c r="AB48" s="1664"/>
      <c r="AC48" s="1664"/>
      <c r="AD48" s="1664"/>
      <c r="AE48" s="1664"/>
      <c r="AF48" s="1664"/>
      <c r="AG48" s="1714"/>
      <c r="AH48" s="1714"/>
      <c r="AI48" s="1750"/>
      <c r="AJ48" s="2117"/>
      <c r="AK48" s="1664"/>
      <c r="AL48" s="1664"/>
      <c r="AM48" s="1664"/>
      <c r="AN48" s="1664"/>
      <c r="AO48" s="1664"/>
      <c r="AP48" s="1664"/>
      <c r="AQ48" s="1664"/>
    </row>
    <row r="49" spans="1:43" s="1748" customFormat="1">
      <c r="A49" s="1664"/>
      <c r="B49" s="1990" t="inlineStr">
        <is>
          <t xml:space="preserve">CLIMA</t>
        </is>
      </c>
      <c r="C49" s="1991" t="inlineStr">
        <is>
          <t xml:space="preserve">TORMENTAS ELECTRICAS / LLUVIAS INTENSAS</t>
        </is>
      </c>
      <c r="D49" s="1990">
        <f>IF(D$39='Carátula (P)'!$C$17,COUNTIF('PPC '!$AI$11:$AI$126,$B49),0)</f>
        <v>0</v>
      </c>
      <c r="E49" s="1990">
        <f>IF(E$39='Carátula (P)'!$C$17,COUNTIF('PPC '!$AI$11:$AI$126,$B49),0)</f>
        <v>0</v>
      </c>
      <c r="F49" s="1990">
        <f>IF(F$39='Carátula (P)'!$C$17,COUNTIF('PPC '!$AI$11:$AI$126,$B49),0)</f>
        <v>0</v>
      </c>
      <c r="G49" s="1990">
        <f>IF(G$39='Carátula (P)'!$C$17,COUNTIF('PPC '!$AI$11:$AI$126,$B49),0)</f>
        <v>0</v>
      </c>
      <c r="H49" s="1990">
        <f>IF(H$39='Carátula (P)'!$C$17,COUNTIF('PPC '!$AI$11:$AI$126,$B49),0)</f>
        <v>0</v>
      </c>
      <c r="I49" s="1990">
        <f>IF(I$39='Carátula (P)'!$C$17,COUNTIF('PPC '!$AI$11:$AI$126,$B49),0)</f>
        <v>0</v>
      </c>
      <c r="J49" s="1990">
        <f>IF(J$39='Carátula (P)'!$C$17,COUNTIF('PPC '!$AI$11:$AI$126,$B49),0)</f>
        <v>0</v>
      </c>
      <c r="K49" s="1990">
        <f>IF(K$39='Carátula (P)'!$C$17,COUNTIF('PPC '!$AI$11:$AI$126,$B49),0)</f>
        <v>0</v>
      </c>
      <c r="L49" s="1990">
        <f>IF(L$39='Carátula (P)'!$C$17,COUNTIF('PPC '!$AI$11:$AI$126,$B49),0)</f>
        <v>0</v>
      </c>
      <c r="M49" s="1990">
        <f>IF(M$39='Carátula (P)'!$C$17,COUNTIF('PPC '!$AI$11:$AI$126,$B49),0)</f>
        <v>0</v>
      </c>
      <c r="N49" s="1990">
        <f>IF(N$39='Carátula (P)'!$C$17,COUNTIF('PPC '!$AI$11:$AI$126,$B49),0)</f>
        <v>0</v>
      </c>
      <c r="O49" s="1990">
        <f>IF(O$39='Carátula (P)'!$C$17,COUNTIF('PPC '!$AI$11:$AI$126,$B49),0)</f>
        <v>0</v>
      </c>
      <c r="P49" s="1990">
        <f>IF(P$39='Carátula (P)'!$C$17,COUNTIF('PPC '!$AI$11:$AI$126,$B49),0)</f>
        <v>0</v>
      </c>
      <c r="Q49" s="2015">
        <f>IF(Q$39='Carátula (P)'!$C$17,COUNTIF('PPC '!$AI$11:$AI$126,$B49),0)</f>
        <v>0</v>
      </c>
      <c r="R49" s="2015">
        <f>IF(R$39='Carátula (P)'!$C$17,COUNTIF('PPC '!$AI$11:$AI$126,$B49),0)</f>
        <v>0</v>
      </c>
      <c r="S49" s="2032">
        <f>IF(S$39='Carátula (P)'!$C$17,COUNTIF('PPC '!$AI$11:$AI$126,$B49),0)</f>
        <v>0</v>
      </c>
      <c r="T49" s="2032">
        <f>IF(T$39='Carátula (P)'!$C$17,COUNTIF('PPC '!$AI$11:$AI$126,$B49),0)</f>
        <v>0</v>
      </c>
      <c r="U49" s="2015">
        <f>IF(U$39='Carátula (P)'!$C$17,COUNTIF('PPC '!$AI$11:$AI$126,$B49),0)</f>
        <v>0</v>
      </c>
      <c r="V49" s="2125">
        <f t="shared" si="0"/>
        <v>0</v>
      </c>
      <c r="W49" s="1664"/>
      <c r="X49" s="1664"/>
      <c r="Y49" s="1714"/>
      <c r="Z49" s="1714"/>
      <c r="AA49" s="1664"/>
      <c r="AB49" s="1664"/>
      <c r="AC49" s="1664"/>
      <c r="AD49" s="1664"/>
      <c r="AE49" s="1664"/>
      <c r="AF49" s="1664"/>
      <c r="AG49" s="1714"/>
      <c r="AH49" s="1714"/>
      <c r="AI49" s="1750"/>
      <c r="AJ49" s="2117"/>
      <c r="AK49" s="1664"/>
      <c r="AL49" s="1664"/>
      <c r="AM49" s="1664"/>
      <c r="AN49" s="1664"/>
      <c r="AO49" s="1664"/>
      <c r="AP49" s="1664"/>
      <c r="AQ49" s="1664"/>
    </row>
    <row r="50" spans="1:43" s="1748" customFormat="1">
      <c r="A50" s="1664"/>
      <c r="B50" s="1990" t="inlineStr">
        <is>
          <t xml:space="preserve">EXT</t>
        </is>
      </c>
      <c r="C50" s="1991" t="inlineStr">
        <is>
          <t xml:space="preserve">EXTERNO</t>
        </is>
      </c>
      <c r="D50" s="1990">
        <f>IF(D$39='Carátula (P)'!$C$17,COUNTIF('PPC '!$AI$11:$AI$126,$B50),0)</f>
        <v>0</v>
      </c>
      <c r="E50" s="1990">
        <f>IF(E$39='Carátula (P)'!$C$17,COUNTIF('PPC '!$AI$11:$AI$126,$B50),0)</f>
        <v>0</v>
      </c>
      <c r="F50" s="1990">
        <f>IF(F$39='Carátula (P)'!$C$17,COUNTIF('PPC '!$AI$11:$AI$126,$B50),0)</f>
        <v>0</v>
      </c>
      <c r="G50" s="1990">
        <f>IF(G$39='Carátula (P)'!$C$17,COUNTIF('PPC '!$AI$11:$AI$126,$B50),0)</f>
        <v>0</v>
      </c>
      <c r="H50" s="1990">
        <f>IF(H$39='Carátula (P)'!$C$17,COUNTIF('PPC '!$AI$11:$AI$126,$B50),0)</f>
        <v>0</v>
      </c>
      <c r="I50" s="1990">
        <f>IF(I$39='Carátula (P)'!$C$17,COUNTIF('PPC '!$AI$11:$AI$126,$B50),0)</f>
        <v>0</v>
      </c>
      <c r="J50" s="1990">
        <f>IF(J$39='Carátula (P)'!$C$17,COUNTIF('PPC '!$AI$11:$AI$126,$B50),0)</f>
        <v>0</v>
      </c>
      <c r="K50" s="1990">
        <f>IF(K$39='Carátula (P)'!$C$17,COUNTIF('PPC '!$AI$11:$AI$126,$B50),0)</f>
        <v>0</v>
      </c>
      <c r="L50" s="1990">
        <f>IF(L$39='Carátula (P)'!$C$17,COUNTIF('PPC '!$AI$11:$AI$126,$B50),0)</f>
        <v>0</v>
      </c>
      <c r="M50" s="1990">
        <f>IF(M$39='Carátula (P)'!$C$17,COUNTIF('PPC '!$AI$11:$AI$126,$B50),0)</f>
        <v>0</v>
      </c>
      <c r="N50" s="1990">
        <f>IF(N$39='Carátula (P)'!$C$17,COUNTIF('PPC '!$AI$11:$AI$126,$B50),0)</f>
        <v>0</v>
      </c>
      <c r="O50" s="1990">
        <f>IF(O$39='Carátula (P)'!$C$17,COUNTIF('PPC '!$AI$11:$AI$126,$B50),0)</f>
        <v>0</v>
      </c>
      <c r="P50" s="1990">
        <f>IF(P$39='Carátula (P)'!$C$17,COUNTIF('PPC '!$AI$11:$AI$126,$B50),0)</f>
        <v>0</v>
      </c>
      <c r="Q50" s="2015">
        <f>IF(Q$39='Carátula (P)'!$C$17,COUNTIF('PPC '!$AI$11:$AI$126,$B50),0)</f>
        <v>0</v>
      </c>
      <c r="R50" s="2015">
        <f>IF(R$39='Carátula (P)'!$C$17,COUNTIF('PPC '!$AI$11:$AI$126,$B50),0)</f>
        <v>0</v>
      </c>
      <c r="S50" s="2032">
        <f>IF(S$39='Carátula (P)'!$C$17,COUNTIF('PPC '!$AI$11:$AI$126,$B50),0)</f>
        <v>0</v>
      </c>
      <c r="T50" s="2032">
        <f>IF(T$39='Carátula (P)'!$C$17,COUNTIF('PPC '!$AI$11:$AI$126,$B50),0)</f>
        <v>0</v>
      </c>
      <c r="U50" s="2015">
        <f>IF(U$39='Carátula (P)'!$C$17,COUNTIF('PPC '!$AI$11:$AI$126,$B50),0)</f>
        <v>0</v>
      </c>
      <c r="V50" s="2125">
        <f t="shared" si="0"/>
        <v>0</v>
      </c>
      <c r="W50" s="1664"/>
      <c r="X50" s="1664"/>
      <c r="Y50" s="1714"/>
      <c r="Z50" s="1714"/>
      <c r="AA50" s="1664"/>
      <c r="AB50" s="1664"/>
      <c r="AC50" s="1664"/>
      <c r="AD50" s="1664"/>
      <c r="AE50" s="1664"/>
      <c r="AF50" s="1664"/>
      <c r="AG50" s="1714"/>
      <c r="AH50" s="1714"/>
      <c r="AI50" s="1750"/>
      <c r="AJ50" s="2117"/>
      <c r="AK50" s="1664"/>
      <c r="AL50" s="1664"/>
      <c r="AM50" s="1664"/>
      <c r="AN50" s="1664"/>
      <c r="AO50" s="1664"/>
      <c r="AP50" s="1664"/>
      <c r="AQ50" s="1664"/>
    </row>
    <row r="51" spans="1:43" s="1748" customFormat="1">
      <c r="A51" s="1664"/>
      <c r="B51" s="1990" t="inlineStr">
        <is>
          <t xml:space="preserve">SC</t>
        </is>
      </c>
      <c r="C51" s="1991" t="inlineStr">
        <is>
          <t xml:space="preserve">SUBCONTRATAS </t>
        </is>
      </c>
      <c r="D51" s="1990">
        <f>IF(D$39='Carátula (P)'!$C$17,COUNTIF('PPC '!$AI$11:$AI$126,$B51),0)</f>
        <v>0</v>
      </c>
      <c r="E51" s="1990">
        <f>IF(E$39='Carátula (P)'!$C$17,COUNTIF('PPC '!$AI$11:$AI$126,$B51),0)</f>
        <v>0</v>
      </c>
      <c r="F51" s="1990">
        <f>IF(F$39='Carátula (P)'!$C$17,COUNTIF('PPC '!$AI$11:$AI$126,$B51),0)</f>
        <v>0</v>
      </c>
      <c r="G51" s="1990">
        <f>IF(G$39='Carátula (P)'!$C$17,COUNTIF('PPC '!$AI$11:$AI$126,$B51),0)</f>
        <v>0</v>
      </c>
      <c r="H51" s="1990">
        <f>IF(H$39='Carátula (P)'!$C$17,COUNTIF('PPC '!$AI$11:$AI$126,$B51),0)</f>
        <v>0</v>
      </c>
      <c r="I51" s="1990">
        <f>IF(I$39='Carátula (P)'!$C$17,COUNTIF('PPC '!$AI$11:$AI$126,$B51),0)</f>
        <v>0</v>
      </c>
      <c r="J51" s="1990">
        <f>IF(J$39='Carátula (P)'!$C$17,COUNTIF('PPC '!$AI$11:$AI$126,$B51),0)</f>
        <v>0</v>
      </c>
      <c r="K51" s="1990">
        <f>IF(K$39='Carátula (P)'!$C$17,COUNTIF('PPC '!$AI$11:$AI$126,$B51),0)</f>
        <v>0</v>
      </c>
      <c r="L51" s="1990">
        <f>IF(L$39='Carátula (P)'!$C$17,COUNTIF('PPC '!$AI$11:$AI$126,$B51),0)</f>
        <v>0</v>
      </c>
      <c r="M51" s="1990">
        <f>IF(M$39='Carátula (P)'!$C$17,COUNTIF('PPC '!$AI$11:$AI$126,$B51),0)</f>
        <v>0</v>
      </c>
      <c r="N51" s="1990">
        <f>IF(N$39='Carátula (P)'!$C$17,COUNTIF('PPC '!$AI$11:$AI$126,$B51),0)</f>
        <v>0</v>
      </c>
      <c r="O51" s="1990">
        <f>IF(O$39='Carátula (P)'!$C$17,COUNTIF('PPC '!$AI$11:$AI$126,$B51),0)</f>
        <v>0</v>
      </c>
      <c r="P51" s="1990">
        <f>IF(P$39='Carátula (P)'!$C$17,COUNTIF('PPC '!$AI$11:$AI$126,$B51),0)</f>
        <v>0</v>
      </c>
      <c r="Q51" s="2015">
        <f>IF(Q$39='Carátula (P)'!$C$17,COUNTIF('PPC '!$AI$11:$AI$126,$B51),0)</f>
        <v>0</v>
      </c>
      <c r="R51" s="2015">
        <f>IF(R$39='Carátula (P)'!$C$17,COUNTIF('PPC '!$AI$11:$AI$126,$B51),0)</f>
        <v>0</v>
      </c>
      <c r="S51" s="2032">
        <f>IF(S$39='Carátula (P)'!$C$17,COUNTIF('PPC '!$AI$11:$AI$126,$B51),0)</f>
        <v>0</v>
      </c>
      <c r="T51" s="2032">
        <f>IF(T$39='Carátula (P)'!$C$17,COUNTIF('PPC '!$AI$11:$AI$126,$B51),0)</f>
        <v>0</v>
      </c>
      <c r="U51" s="2015">
        <f>IF(U$39='Carátula (P)'!$C$17,COUNTIF('PPC '!$AI$11:$AI$126,$B51),0)</f>
        <v>0</v>
      </c>
      <c r="V51" s="2125">
        <f t="shared" si="0"/>
        <v>0</v>
      </c>
      <c r="W51" s="1664"/>
      <c r="X51" s="1664"/>
      <c r="Y51" s="1714"/>
      <c r="Z51" s="1714"/>
      <c r="AA51" s="1664"/>
      <c r="AB51" s="1664"/>
      <c r="AC51" s="1664"/>
      <c r="AD51" s="1664"/>
      <c r="AE51" s="1664"/>
      <c r="AF51" s="1664"/>
      <c r="AG51" s="1714"/>
      <c r="AH51" s="1714"/>
      <c r="AI51" s="1750"/>
      <c r="AJ51" s="2117"/>
      <c r="AK51" s="1664"/>
      <c r="AL51" s="1664"/>
      <c r="AM51" s="1664"/>
      <c r="AN51" s="1664"/>
      <c r="AO51" s="1664"/>
      <c r="AP51" s="1664"/>
      <c r="AQ51" s="1664"/>
    </row>
    <row r="52" spans="1:43" s="1748" customFormat="1">
      <c r="A52" s="1664"/>
      <c r="B52" s="1990" t="inlineStr">
        <is>
          <t xml:space="preserve">EJEC</t>
        </is>
      </c>
      <c r="C52" s="1991" t="inlineStr">
        <is>
          <t xml:space="preserve">ERRORES DE INGENIERÍA</t>
        </is>
      </c>
      <c r="D52" s="1990">
        <f>IF(D$39='Carátula (P)'!$C$17,COUNTIF('PPC '!$AI$11:$AI$126,$B52),0)</f>
        <v>0</v>
      </c>
      <c r="E52" s="1990">
        <f>IF(E$39='Carátula (P)'!$C$17,COUNTIF('PPC '!$AI$11:$AI$126,$B52),0)</f>
        <v>0</v>
      </c>
      <c r="F52" s="1990">
        <f>IF(F$39='Carátula (P)'!$C$17,COUNTIF('PPC '!$AI$11:$AI$126,$B52),0)</f>
        <v>0</v>
      </c>
      <c r="G52" s="1990">
        <f>IF(G$39='Carátula (P)'!$C$17,COUNTIF('PPC '!$AI$11:$AI$126,$B52),0)</f>
        <v>0</v>
      </c>
      <c r="H52" s="1990">
        <f>IF(H$39='Carátula (P)'!$C$17,COUNTIF('PPC '!$AI$11:$AI$126,$B52),0)</f>
        <v>0</v>
      </c>
      <c r="I52" s="1990">
        <f>IF(I$39='Carátula (P)'!$C$17,COUNTIF('PPC '!$AI$11:$AI$126,$B52),0)</f>
        <v>0</v>
      </c>
      <c r="J52" s="1990">
        <f>IF(J$39='Carátula (P)'!$C$17,COUNTIF('PPC '!$AI$11:$AI$126,$B52),0)</f>
        <v>0</v>
      </c>
      <c r="K52" s="1990">
        <f>IF(K$39='Carátula (P)'!$C$17,COUNTIF('PPC '!$AI$11:$AI$126,$B52),0)</f>
        <v>0</v>
      </c>
      <c r="L52" s="1990">
        <f>IF(L$39='Carátula (P)'!$C$17,COUNTIF('PPC '!$AI$11:$AI$126,$B52),0)</f>
        <v>0</v>
      </c>
      <c r="M52" s="1990">
        <f>IF(M$39='Carátula (P)'!$C$17,COUNTIF('PPC '!$AI$11:$AI$126,$B52),0)</f>
        <v>0</v>
      </c>
      <c r="N52" s="1990">
        <f>IF(N$39='Carátula (P)'!$C$17,COUNTIF('PPC '!$AI$11:$AI$126,$B52),0)</f>
        <v>0</v>
      </c>
      <c r="O52" s="1990">
        <f>IF(O$39='Carátula (P)'!$C$17,COUNTIF('PPC '!$AI$11:$AI$126,$B52),0)</f>
        <v>0</v>
      </c>
      <c r="P52" s="1990">
        <f>IF(P$39='Carátula (P)'!$C$17,COUNTIF('PPC '!$AI$11:$AI$126,$B52),0)</f>
        <v>0</v>
      </c>
      <c r="Q52" s="2015">
        <f>IF(Q$39='Carátula (P)'!$C$17,COUNTIF('PPC '!$AI$11:$AI$126,$B52),0)</f>
        <v>0</v>
      </c>
      <c r="R52" s="2015">
        <f>IF(R$39='Carátula (P)'!$C$17,COUNTIF('PPC '!$AI$11:$AI$126,$B52),0)</f>
        <v>0</v>
      </c>
      <c r="S52" s="2032">
        <f>IF(S$39='Carátula (P)'!$C$17,COUNTIF('PPC '!$AI$11:$AI$126,$B52),0)</f>
        <v>0</v>
      </c>
      <c r="T52" s="2032">
        <f>IF(T$39='Carátula (P)'!$C$17,COUNTIF('PPC '!$AI$11:$AI$126,$B52),0)</f>
        <v>0</v>
      </c>
      <c r="U52" s="2015">
        <f>IF(U$39='Carátula (P)'!$C$17,COUNTIF('PPC '!$AI$11:$AI$126,$B52),0)</f>
        <v>0</v>
      </c>
      <c r="V52" s="2125">
        <f t="shared" si="0"/>
        <v>0</v>
      </c>
      <c r="W52" s="1664"/>
      <c r="X52" s="1664"/>
      <c r="Y52" s="1714"/>
      <c r="Z52" s="1714"/>
      <c r="AA52" s="1664"/>
      <c r="AB52" s="1664"/>
      <c r="AC52" s="1664"/>
      <c r="AD52" s="1664"/>
      <c r="AE52" s="1664"/>
      <c r="AF52" s="1664"/>
      <c r="AG52" s="1714"/>
      <c r="AH52" s="1714"/>
      <c r="AI52" s="1750"/>
      <c r="AJ52" s="2117"/>
      <c r="AK52" s="1664"/>
      <c r="AL52" s="1664"/>
      <c r="AM52" s="1664"/>
      <c r="AN52" s="1664"/>
      <c r="AO52" s="1664"/>
      <c r="AP52" s="1664"/>
      <c r="AQ52" s="1664"/>
    </row>
    <row r="53" spans="1:43" s="1748" customFormat="1">
      <c r="A53" s="1664"/>
      <c r="B53" s="1990" t="inlineStr">
        <is>
          <t xml:space="preserve">QA/QC</t>
        </is>
      </c>
      <c r="C53" s="1991" t="inlineStr">
        <is>
          <t xml:space="preserve">CONTROL DE CALIDAD </t>
        </is>
      </c>
      <c r="D53" s="1990">
        <f>IF(D$39='Carátula (P)'!$C$17,COUNTIF('PPC '!$AI$11:$AI$126,$B53),0)</f>
        <v>0</v>
      </c>
      <c r="E53" s="1990">
        <f>IF(E$39='Carátula (P)'!$C$17,COUNTIF('PPC '!$AI$11:$AI$126,$B53),0)</f>
        <v>0</v>
      </c>
      <c r="F53" s="1990">
        <f>IF(F$39='Carátula (P)'!$C$17,COUNTIF('PPC '!$AI$11:$AI$126,$B53),0)</f>
        <v>0</v>
      </c>
      <c r="G53" s="1990">
        <f>IF(G$39='Carátula (P)'!$C$17,COUNTIF('PPC '!$AI$11:$AI$126,$B53),0)</f>
        <v>0</v>
      </c>
      <c r="H53" s="1990">
        <f>IF(H$39='Carátula (P)'!$C$17,COUNTIF('PPC '!$AI$11:$AI$126,$B53),0)</f>
        <v>0</v>
      </c>
      <c r="I53" s="1990">
        <f>IF(I$39='Carátula (P)'!$C$17,COUNTIF('PPC '!$AI$11:$AI$126,$B53),0)</f>
        <v>0</v>
      </c>
      <c r="J53" s="1990">
        <f>IF(J$39='Carátula (P)'!$C$17,COUNTIF('PPC '!$AI$11:$AI$126,$B53),0)</f>
        <v>0</v>
      </c>
      <c r="K53" s="1990">
        <f>IF(K$39='Carátula (P)'!$C$17,COUNTIF('PPC '!$AI$11:$AI$126,$B53),0)</f>
        <v>0</v>
      </c>
      <c r="L53" s="1990">
        <f>IF(L$39='Carátula (P)'!$C$17,COUNTIF('PPC '!$AI$11:$AI$126,$B53),0)</f>
        <v>0</v>
      </c>
      <c r="M53" s="1990">
        <f>IF(M$39='Carátula (P)'!$C$17,COUNTIF('PPC '!$AI$11:$AI$126,$B53),0)</f>
        <v>0</v>
      </c>
      <c r="N53" s="1990">
        <f>IF(N$39='Carátula (P)'!$C$17,COUNTIF('PPC '!$AI$11:$AI$126,$B53),0)</f>
        <v>0</v>
      </c>
      <c r="O53" s="1990">
        <f>IF(O$39='Carátula (P)'!$C$17,COUNTIF('PPC '!$AI$11:$AI$126,$B53),0)</f>
        <v>0</v>
      </c>
      <c r="P53" s="1990">
        <f>IF(P$39='Carátula (P)'!$C$17,COUNTIF('PPC '!$AI$11:$AI$126,$B53),0)</f>
        <v>0</v>
      </c>
      <c r="Q53" s="2015">
        <f>IF(Q$39='Carátula (P)'!$C$17,COUNTIF('PPC '!$AI$11:$AI$126,$B53),0)</f>
        <v>0</v>
      </c>
      <c r="R53" s="2015">
        <f>IF(R$39='Carátula (P)'!$C$17,COUNTIF('PPC '!$AI$11:$AI$126,$B53),0)</f>
        <v>0</v>
      </c>
      <c r="S53" s="2032">
        <f>IF(S$39='Carátula (P)'!$C$17,COUNTIF('PPC '!$AI$11:$AI$126,$B53),0)</f>
        <v>0</v>
      </c>
      <c r="T53" s="2032">
        <f>IF(T$39='Carátula (P)'!$C$17,COUNTIF('PPC '!$AI$11:$AI$126,$B53),0)</f>
        <v>0</v>
      </c>
      <c r="U53" s="2015">
        <f>IF(U$39='Carátula (P)'!$C$17,COUNTIF('PPC '!$AI$11:$AI$126,$B53),0)</f>
        <v>0</v>
      </c>
      <c r="V53" s="2125">
        <f t="shared" si="0"/>
        <v>0</v>
      </c>
      <c r="W53" s="1664"/>
      <c r="X53" s="1664"/>
      <c r="Y53" s="1714"/>
      <c r="Z53" s="1714"/>
      <c r="AA53" s="1664"/>
      <c r="AB53" s="1664"/>
      <c r="AC53" s="1664"/>
      <c r="AD53" s="1664"/>
      <c r="AE53" s="1664"/>
      <c r="AF53" s="1664"/>
      <c r="AG53" s="1714"/>
      <c r="AH53" s="1714"/>
      <c r="AI53" s="1750"/>
      <c r="AJ53" s="2117"/>
      <c r="AK53" s="1664"/>
      <c r="AL53" s="1664"/>
      <c r="AM53" s="1664"/>
      <c r="AN53" s="1664"/>
      <c r="AO53" s="1664"/>
      <c r="AP53" s="1664"/>
      <c r="AQ53" s="1664"/>
    </row>
    <row r="54" spans="1:43" s="1748" customFormat="1">
      <c r="A54" s="1664"/>
      <c r="B54" s="2015"/>
      <c r="C54" s="2129"/>
      <c r="D54" s="1990"/>
      <c r="E54" s="2130"/>
      <c r="F54" s="2131"/>
      <c r="G54" s="2131"/>
      <c r="H54" s="2131"/>
      <c r="I54" s="2015"/>
      <c r="J54" s="2015"/>
      <c r="K54" s="2015"/>
      <c r="L54" s="2015"/>
      <c r="M54" s="2015"/>
      <c r="N54" s="2015"/>
      <c r="O54" s="2015"/>
      <c r="P54" s="2015"/>
      <c r="Q54" s="2015"/>
      <c r="R54" s="2015"/>
      <c r="S54" s="2015"/>
      <c r="T54" s="2015"/>
      <c r="U54" s="2015"/>
      <c r="V54" s="2125"/>
      <c r="W54" s="1664"/>
      <c r="X54" s="1664"/>
      <c r="Y54" s="1714"/>
      <c r="Z54" s="1714"/>
      <c r="AA54" s="1664"/>
      <c r="AB54" s="1664"/>
      <c r="AC54" s="1664"/>
      <c r="AD54" s="1664"/>
      <c r="AE54" s="1664"/>
      <c r="AF54" s="1664"/>
      <c r="AG54" s="1714"/>
      <c r="AH54" s="1714"/>
      <c r="AI54" s="1750"/>
      <c r="AJ54" s="2117"/>
      <c r="AK54" s="1664"/>
      <c r="AL54" s="1664"/>
      <c r="AM54" s="1664"/>
      <c r="AN54" s="1664"/>
      <c r="AO54" s="1664"/>
      <c r="AP54" s="1664"/>
      <c r="AQ54" s="1664"/>
    </row>
    <row r="55" spans="1:43" s="1748" customFormat="1">
      <c r="A55" s="1664"/>
      <c r="B55" s="2126"/>
      <c r="C55" s="2126" t="inlineStr">
        <is>
          <t xml:space="preserve">RESPONSABLE DE RESTRICCION</t>
        </is>
      </c>
      <c r="D55" s="2127">
        <f>SUM(D56:D57)</f>
        <v>0</v>
      </c>
      <c r="E55" s="2127">
        <f t="shared" ref="E55:V55" si="1">SUM(E56:E57)</f>
        <v>0</v>
      </c>
      <c r="F55" s="2127">
        <f t="shared" si="1"/>
        <v>0</v>
      </c>
      <c r="G55" s="2127">
        <f t="shared" si="1"/>
        <v>0</v>
      </c>
      <c r="H55" s="2127">
        <f t="shared" si="1"/>
        <v>0</v>
      </c>
      <c r="I55" s="2127">
        <f t="shared" si="1"/>
        <v>0</v>
      </c>
      <c r="J55" s="2127">
        <f t="shared" si="1"/>
        <v>4</v>
      </c>
      <c r="K55" s="2127">
        <f t="shared" si="1"/>
        <v>0</v>
      </c>
      <c r="L55" s="2127">
        <f t="shared" si="1"/>
        <v>0</v>
      </c>
      <c r="M55" s="2127">
        <f t="shared" si="1"/>
        <v>0</v>
      </c>
      <c r="N55" s="2127">
        <f t="shared" si="1"/>
        <v>0</v>
      </c>
      <c r="O55" s="2127">
        <f t="shared" si="1"/>
        <v>0</v>
      </c>
      <c r="P55" s="2127">
        <f t="shared" si="1"/>
        <v>0</v>
      </c>
      <c r="Q55" s="2128">
        <f t="shared" si="1"/>
        <v>0</v>
      </c>
      <c r="R55" s="2128">
        <f t="shared" si="1"/>
        <v>0</v>
      </c>
      <c r="S55" s="2128">
        <f t="shared" si="1"/>
        <v>0</v>
      </c>
      <c r="T55" s="2128">
        <f t="shared" si="1"/>
        <v>0</v>
      </c>
      <c r="U55" s="2128">
        <f t="shared" si="1"/>
        <v>0</v>
      </c>
      <c r="V55" s="2128">
        <f t="shared" si="1"/>
        <v>4</v>
      </c>
      <c r="W55" s="1664"/>
      <c r="X55" s="1664"/>
      <c r="Y55" s="1714"/>
      <c r="Z55" s="1714"/>
      <c r="AA55" s="1664"/>
      <c r="AB55" s="1664"/>
      <c r="AC55" s="1664"/>
      <c r="AD55" s="1664"/>
      <c r="AE55" s="1664"/>
      <c r="AF55" s="1664"/>
      <c r="AG55" s="1714"/>
      <c r="AH55" s="1714"/>
      <c r="AI55" s="1750"/>
      <c r="AJ55" s="2117"/>
      <c r="AK55" s="1664"/>
      <c r="AL55" s="1664"/>
      <c r="AM55" s="1664"/>
      <c r="AN55" s="1664"/>
      <c r="AO55" s="1664"/>
      <c r="AP55" s="1664"/>
      <c r="AQ55" s="1664"/>
    </row>
    <row r="56" spans="1:43" s="1748" customFormat="1">
      <c r="A56" s="1664"/>
      <c r="B56" s="1990">
        <v>1</v>
      </c>
      <c r="C56" s="2122" t="inlineStr">
        <is>
          <t xml:space="preserve">CPQ</t>
        </is>
      </c>
      <c r="D56" s="1990">
        <f>IF(D$39='Carátula (P)'!$C$17,COUNTIFS('PPC '!$AH$11:$AH$126,"NO",'PPC '!$AL$11:$AL$126,"CPQ"),0)</f>
        <v>0</v>
      </c>
      <c r="E56" s="1990">
        <f>IF(E$39='Carátula (P)'!$C$17,COUNTIFS('PPC '!$AH$11:$AH$126,"NO",'PPC '!$AL$11:$AL$126,"CPQ"),0)</f>
        <v>0</v>
      </c>
      <c r="F56" s="1990">
        <f>IF(F$39='Carátula (P)'!$C$17,COUNTIFS('PPC '!$AH$11:$AH$126,"NO",'PPC '!$AL$11:$AL$126,"CPQ"),0)</f>
        <v>0</v>
      </c>
      <c r="G56" s="1990">
        <f>IF(G$39='Carátula (P)'!$C$17,COUNTIFS('PPC '!$AH$11:$AH$126,"NO",'PPC '!$AL$11:$AL$126,"CPQ"),0)</f>
        <v>0</v>
      </c>
      <c r="H56" s="1990">
        <f>IF(H$39='Carátula (P)'!$C$17,COUNTIFS('PPC '!$AH$11:$AH$126,"NO",'PPC '!$AL$11:$AL$126,"CPQ"),0)</f>
        <v>0</v>
      </c>
      <c r="I56" s="1990">
        <f>IF(I$39='Carátula (P)'!$C$17,COUNTIFS('PPC '!$AH$11:$AH$126,"NO",'PPC '!$AL$11:$AL$126,"CPQ"),0)</f>
        <v>0</v>
      </c>
      <c r="J56" s="1990">
        <f>IF(J$39='Carátula (P)'!$C$17,COUNTIFS('PPC '!$AH$11:$AH$126,"NO",'PPC '!$AL$11:$AL$126,"CPQ"),0)</f>
        <v>0</v>
      </c>
      <c r="K56" s="1990">
        <f>IF(K$39='Carátula (P)'!$C$17,COUNTIFS('PPC '!$AH$11:$AH$126,"NO",'PPC '!$AL$11:$AL$126,"CPQ"),0)</f>
        <v>0</v>
      </c>
      <c r="L56" s="1990">
        <f>IF(L$39='Carátula (P)'!$C$17,COUNTIFS('PPC '!$AH$11:$AH$126,"NO",'PPC '!$AL$11:$AL$126,"CPQ"),0)</f>
        <v>0</v>
      </c>
      <c r="M56" s="1990">
        <f>IF(M$39='Carátula (P)'!$C$17,COUNTIFS('PPC '!$AH$11:$AH$126,"NO",'PPC '!$AL$11:$AL$126,"CPQ"),0)</f>
        <v>0</v>
      </c>
      <c r="N56" s="1990">
        <f>IF(N$39='Carátula (P)'!$C$17,COUNTIFS('PPC '!$AH$11:$AH$126,"NO",'PPC '!$AL$11:$AL$126,"CPQ"),0)</f>
        <v>0</v>
      </c>
      <c r="O56" s="1990">
        <f>IF(O$39='Carátula (P)'!$C$17,COUNTIFS('PPC '!$AH$11:$AH$126,"NO",'PPC '!$AL$11:$AL$126,"CPQ"),0)</f>
        <v>0</v>
      </c>
      <c r="P56" s="1990">
        <f>IF(P$39='Carátula (P)'!$C$17,COUNTIFS('PPC '!$AH$11:$AH$126,"NO",'PPC '!$AL$11:$AL$126,"CPQ"),0)</f>
        <v>0</v>
      </c>
      <c r="Q56" s="2015">
        <f>IF(Q$39='Carátula (P)'!$C$17,COUNTIFS('PPC '!$AH$11:$AH$126,"NO",'PPC '!$AL$11:$AL$126,"CPQ"),0)</f>
        <v>0</v>
      </c>
      <c r="R56" s="2015">
        <f>IF(R$39='Carátula (P)'!$C$17,COUNTIFS('PPC '!$AH$11:$AH$126,"NO",'PPC '!$AL$11:$AL$126,"CPQ"),0)</f>
        <v>0</v>
      </c>
      <c r="S56" s="2015">
        <f>IF(S$39='Carátula (P)'!$C$17,COUNTIFS('PPC '!$AH$11:$AH$126,"NO",'PPC '!$AL$11:$AL$126,"CPQ"),0)</f>
        <v>0</v>
      </c>
      <c r="T56" s="2015">
        <f>IF(T$39='Carátula (P)'!$C$17,COUNTIFS('PPC '!$AH$11:$AH$126,"NO",'PPC '!$AL$11:$AL$126,"CPQ"),0)</f>
        <v>0</v>
      </c>
      <c r="U56" s="2015">
        <f>IF(U$39='Carátula (P)'!$C$17,COUNTIFS('PPC '!$AH$11:$AH$126,"NO",'PPC '!$AL$11:$AL$126,"CPQ"),0)</f>
        <v>0</v>
      </c>
      <c r="V56" s="2125">
        <f>SUM(D56:U56)</f>
        <v>0</v>
      </c>
      <c r="W56" s="1664"/>
      <c r="X56" s="1664"/>
      <c r="Y56" s="1714"/>
      <c r="Z56" s="1714"/>
      <c r="AA56" s="1664"/>
      <c r="AB56" s="1664"/>
      <c r="AC56" s="1664"/>
      <c r="AD56" s="1664"/>
      <c r="AE56" s="1664"/>
      <c r="AF56" s="1664"/>
      <c r="AG56" s="1714"/>
      <c r="AH56" s="1714"/>
      <c r="AI56" s="1750"/>
      <c r="AJ56" s="2117"/>
      <c r="AK56" s="1664"/>
      <c r="AL56" s="1664"/>
      <c r="AM56" s="1664"/>
      <c r="AN56" s="1664"/>
      <c r="AO56" s="1664"/>
      <c r="AP56" s="1664"/>
      <c r="AQ56" s="1664"/>
    </row>
    <row r="57" spans="1:43" s="1748" customFormat="1">
      <c r="A57" s="1664"/>
      <c r="B57" s="1990">
        <v>2</v>
      </c>
      <c r="C57" s="2122" t="inlineStr">
        <is>
          <t xml:space="preserve">MY</t>
        </is>
      </c>
      <c r="D57" s="1990">
        <f>IF(D$39='Carátula (P)'!$C$17,COUNTIFS('PPC '!$AH$11:$AH$126,"NO",'PPC '!$AL$11:$AL$126,"MY"),0)</f>
        <v>0</v>
      </c>
      <c r="E57" s="1990">
        <f>IF(E$39='Carátula (P)'!$C$17,COUNTIFS('PPC '!$AH$11:$AH$126,"NO",'PPC '!$AL$11:$AL$126,"MY"),0)</f>
        <v>0</v>
      </c>
      <c r="F57" s="1990">
        <f>IF(F$39='Carátula (P)'!$C$17,COUNTIFS('PPC '!$AH$11:$AH$126,"NO",'PPC '!$AL$11:$AL$126,"MY"),0)</f>
        <v>0</v>
      </c>
      <c r="G57" s="1990">
        <f>IF(G$39='Carátula (P)'!$C$17,COUNTIFS('PPC '!$AH$11:$AH$126,"NO",'PPC '!$AL$11:$AL$126,"MY"),0)</f>
        <v>0</v>
      </c>
      <c r="H57" s="1990">
        <f>IF(H$39='Carátula (P)'!$C$17,COUNTIFS('PPC '!$AH$11:$AH$126,"NO",'PPC '!$AL$11:$AL$126,"MY"),0)</f>
        <v>0</v>
      </c>
      <c r="I57" s="1990">
        <f>IF(I$39='Carátula (P)'!$C$17,COUNTIFS('PPC '!$AH$11:$AH$126,"NO",'PPC '!$AL$11:$AL$126,"MY"),0)</f>
        <v>0</v>
      </c>
      <c r="J57" s="1990">
        <f>IF(J$39='Carátula (P)'!$C$17,COUNTIFS('PPC '!$AH$11:$AH$126,"NO",'PPC '!$AL$11:$AL$126,"MY"),0)</f>
        <v>4</v>
      </c>
      <c r="K57" s="1990">
        <f>IF(K$39='Carátula (P)'!$C$17,COUNTIFS('PPC '!$AH$11:$AH$126,"NO",'PPC '!$AL$11:$AL$126,"MY"),0)</f>
        <v>0</v>
      </c>
      <c r="L57" s="1990">
        <f>IF(L$39='Carátula (P)'!$C$17,COUNTIFS('PPC '!$AH$11:$AH$126,"NO",'PPC '!$AL$11:$AL$126,"MY"),0)</f>
        <v>0</v>
      </c>
      <c r="M57" s="1990">
        <f>IF(M$39='Carátula (P)'!$C$17,COUNTIFS('PPC '!$AH$11:$AH$126,"NO",'PPC '!$AL$11:$AL$126,"MY"),0)</f>
        <v>0</v>
      </c>
      <c r="N57" s="1990">
        <f>IF(N$39='Carátula (P)'!$C$17,COUNTIFS('PPC '!$AH$11:$AH$126,"NO",'PPC '!$AL$11:$AL$126,"MY"),0)</f>
        <v>0</v>
      </c>
      <c r="O57" s="1990">
        <f>IF(O$39='Carátula (P)'!$C$17,COUNTIFS('PPC '!$AH$11:$AH$126,"NO",'PPC '!$AL$11:$AL$126,"MY"),0)</f>
        <v>0</v>
      </c>
      <c r="P57" s="1990">
        <f>IF(P$39='Carátula (P)'!$C$17,COUNTIFS('PPC '!$AH$11:$AH$126,"NO",'PPC '!$AL$11:$AL$126,"MY"),0)</f>
        <v>0</v>
      </c>
      <c r="Q57" s="2015">
        <f>IF(Q$39='Carátula (P)'!$C$17,COUNTIFS('PPC '!$AH$11:$AH$126,"NO",'PPC '!$AL$11:$AL$126,"MY"),0)</f>
        <v>0</v>
      </c>
      <c r="R57" s="2015">
        <f>IF(R$39='Carátula (P)'!$C$17,COUNTIFS('PPC '!$AH$11:$AH$126,"NO",'PPC '!$AL$11:$AL$126,"MY"),0)</f>
        <v>0</v>
      </c>
      <c r="S57" s="2015">
        <f>IF(S$39='Carátula (P)'!$C$17,COUNTIFS('PPC '!$AH$11:$AH$126,"NO",'PPC '!$AL$11:$AL$126,"MY"),0)</f>
        <v>0</v>
      </c>
      <c r="T57" s="2015">
        <f>IF(T$39='Carátula (P)'!$C$17,COUNTIFS('PPC '!$AH$11:$AH$126,"NO",'PPC '!$AL$11:$AL$126,"MY"),0)</f>
        <v>0</v>
      </c>
      <c r="U57" s="2015">
        <f>IF(U$39='Carátula (P)'!$C$17,COUNTIFS('PPC '!$AH$11:$AH$126,"NO",'PPC '!$AL$11:$AL$126,"MY"),0)</f>
        <v>0</v>
      </c>
      <c r="V57" s="2125">
        <f>SUM(D57:U57)</f>
        <v>4</v>
      </c>
      <c r="W57" s="1664"/>
      <c r="X57" s="1664"/>
      <c r="Y57" s="1714"/>
      <c r="Z57" s="1714"/>
      <c r="AA57" s="1664"/>
      <c r="AB57" s="1664"/>
      <c r="AC57" s="1664"/>
      <c r="AD57" s="1664"/>
      <c r="AE57" s="1664"/>
      <c r="AF57" s="1664"/>
      <c r="AG57" s="1714"/>
      <c r="AH57" s="1714"/>
      <c r="AI57" s="1750"/>
      <c r="AJ57" s="2117"/>
      <c r="AK57" s="1664"/>
      <c r="AL57" s="1664"/>
      <c r="AM57" s="1664"/>
      <c r="AN57" s="1664"/>
      <c r="AO57" s="1664"/>
      <c r="AP57" s="1664"/>
      <c r="AQ57" s="1664"/>
    </row>
    <row r="66" spans="16:39">
      <c r="AB66" s="1754"/>
      <c r="AC66" s="1754"/>
      <c r="AJ66" s="2118"/>
      <c r="AK66" s="1754"/>
      <c r="AL66" s="1664"/>
      <c r="AM66" s="1664"/>
    </row>
    <row r="67" spans="16:39">
      <c r="AB67" s="1754"/>
      <c r="AC67" s="1754"/>
      <c r="AJ67" s="2118"/>
      <c r="AK67" s="1754"/>
      <c r="AL67" s="1664"/>
      <c r="AM67" s="1664"/>
    </row>
    <row r="68" spans="16:39">
      <c r="AB68" s="1754"/>
      <c r="AC68" s="1754"/>
      <c r="AJ68" s="2118"/>
      <c r="AK68" s="1754"/>
      <c r="AL68" s="1664"/>
      <c r="AM68" s="1664"/>
    </row>
    <row r="69" spans="16:39">
      <c r="AB69" s="1754"/>
      <c r="AC69" s="1754"/>
      <c r="AJ69" s="2118"/>
      <c r="AK69" s="1754"/>
      <c r="AL69" s="1664"/>
      <c r="AM69" s="1664"/>
    </row>
    <row r="70" spans="16:39">
      <c r="AB70" s="1754"/>
      <c r="AC70" s="1754"/>
      <c r="AJ70" s="2118"/>
      <c r="AK70" s="1754"/>
      <c r="AL70" s="1664"/>
      <c r="AM70" s="1664"/>
    </row>
    <row r="71" spans="16:39">
      <c r="AB71" s="1754"/>
      <c r="AC71" s="1754"/>
      <c r="AJ71" s="2118"/>
      <c r="AK71" s="1754"/>
      <c r="AL71" s="1664"/>
      <c r="AM71" s="1664"/>
    </row>
    <row r="72" spans="16:39">
      <c r="AB72" s="1754"/>
      <c r="AC72" s="1754"/>
      <c r="AJ72" s="2118"/>
      <c r="AK72" s="1754"/>
      <c r="AL72" s="1664"/>
      <c r="AM72" s="1664"/>
    </row>
    <row r="73" spans="16:39">
      <c r="AB73" s="1754"/>
      <c r="AC73" s="1754"/>
      <c r="AJ73" s="2118"/>
      <c r="AK73" s="1754"/>
      <c r="AL73" s="1664"/>
      <c r="AM73" s="1664"/>
    </row>
    <row r="74" spans="16:39">
      <c r="P74" s="1664" t="inlineStr">
        <is>
          <t xml:space="preserve">x</t>
        </is>
      </c>
      <c r="AB74" s="1754"/>
      <c r="AC74" s="1754"/>
      <c r="AJ74" s="2118"/>
      <c r="AK74" s="1754"/>
      <c r="AL74" s="1664"/>
      <c r="AM74" s="1664"/>
    </row>
    <row r="75" spans="16:39">
      <c r="AB75" s="1754"/>
      <c r="AC75" s="1754"/>
      <c r="AJ75" s="2118"/>
      <c r="AK75" s="1754"/>
      <c r="AL75" s="1664"/>
      <c r="AM75" s="1664"/>
    </row>
    <row r="76" spans="16:39">
      <c r="AB76" s="1754"/>
      <c r="AC76" s="1754"/>
      <c r="AJ76" s="2118"/>
      <c r="AK76" s="1754"/>
      <c r="AL76" s="1664"/>
      <c r="AM76" s="1664"/>
    </row>
    <row r="77" spans="16:39">
      <c r="AB77" s="1754"/>
      <c r="AC77" s="1754"/>
      <c r="AJ77" s="2118"/>
      <c r="AK77" s="1754"/>
      <c r="AL77" s="1664"/>
      <c r="AM77" s="1664"/>
    </row>
    <row r="78" spans="16:39">
      <c r="AB78" s="1754"/>
      <c r="AC78" s="1754"/>
      <c r="AJ78" s="2118"/>
      <c r="AK78" s="1754"/>
      <c r="AL78" s="1664"/>
      <c r="AM78" s="1664"/>
    </row>
    <row r="79" spans="16:39">
      <c r="AB79" s="1754"/>
      <c r="AC79" s="1754"/>
      <c r="AJ79" s="2118"/>
      <c r="AK79" s="1754"/>
      <c r="AL79" s="1664"/>
      <c r="AM79" s="1664"/>
    </row>
  </sheetData>
  <mergeCells count="8">
    <mergeCell ref="B35:C35"/>
    <mergeCell ref="B36:C36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  <pageSetup scale="15" orientation="portrait" horizontalDpi="1200" verticalDpi="1200"/>
  <rowBreaks count="1" manualBreakCount="1">
    <brk id="6" max="42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8001-EB47-4C97-AD5F-C33620EAFBB3}">
  <sheetPr>
    <tabColor rgb="FF0070C0"/>
  </sheetPr>
  <dimension ref="A1:S45"/>
  <sheetViews>
    <sheetView workbookViewId="0"/>
  </sheetViews>
  <sheetFormatPr baseColWidth="10" defaultColWidth="11.42578125" defaultRowHeight="20.25"/>
  <cols>
    <col min="1" max="1" width="2.42578125" style="1837" customWidth="1"/>
    <col min="2" max="2" width="12.7109375" style="1838" hidden="1" customWidth="1"/>
    <col min="3" max="3" width="17.7109375" style="1838" hidden="1" customWidth="1"/>
    <col min="4" max="4" width="17.7109375" style="1838" customWidth="1"/>
    <col min="5" max="5" width="56.7109375" style="1838" customWidth="1"/>
    <col min="6" max="6" width="81.28515625" style="1839" customWidth="1"/>
    <col min="7" max="7" width="69" style="1838" customWidth="1"/>
    <col min="8" max="8" width="29.140625" style="1838" bestFit="1" customWidth="1"/>
    <col min="9" max="9" width="18.5703125" style="1838" customWidth="1"/>
    <col min="10" max="10" width="21" style="1838" customWidth="1"/>
    <col min="11" max="11" width="17.85546875" style="1838" customWidth="1"/>
    <col min="12" max="12" width="25.5703125" style="1838" customWidth="1"/>
    <col min="13" max="13" width="21.7109375" style="1838" hidden="1" customWidth="1"/>
    <col min="14" max="14" width="16.42578125" style="1838" customWidth="1"/>
    <col min="15" max="15" width="25.85546875" style="1838" hidden="1" customWidth="1"/>
    <col min="16" max="16" width="26.140625" style="1838" customWidth="1"/>
    <col min="17" max="17" width="70.7109375" style="1838" customWidth="1"/>
    <col min="18" max="18" width="37.7109375" style="1840" hidden="1" customWidth="1"/>
    <col min="19" max="19" width="44.85546875" style="1838" hidden="1" customWidth="1"/>
    <col min="20" max="31" width="11.42578125" style="1838" customWidth="1"/>
    <col min="32" max="16384" width="11.42578125" style="1838"/>
  </cols>
  <sheetData>
    <row r="1" spans="1:19" s="1805" customFormat="1">
      <c r="A1" s="1800"/>
      <c r="B1" s="1800"/>
      <c r="C1" s="1801"/>
      <c r="D1" s="1801"/>
      <c r="E1" s="1801"/>
      <c r="F1" s="1802"/>
      <c r="G1" s="1801"/>
      <c r="H1" s="1801"/>
      <c r="I1" s="1801"/>
      <c r="J1" s="1801"/>
      <c r="K1" s="1801"/>
      <c r="L1" s="1801"/>
      <c r="M1" s="1801"/>
      <c r="N1" s="1801"/>
      <c r="O1" s="1803"/>
      <c r="P1" s="1803"/>
      <c r="Q1" s="1803"/>
      <c r="R1" s="1804"/>
    </row>
    <row r="2" spans="1:19" s="1805" customFormat="1">
      <c r="A2" s="1800"/>
      <c r="B2" s="1800"/>
      <c r="C2" s="1801"/>
      <c r="D2" s="1801"/>
      <c r="E2" s="1801"/>
      <c r="F2" s="1806" t="inlineStr">
        <is>
          <t xml:space="preserve">“Instalación de Tuberías HDPE – Paquetes 07 y 08 – WTP”</t>
        </is>
      </c>
      <c r="G2" s="1801"/>
      <c r="H2" s="1801"/>
      <c r="I2" s="1801"/>
      <c r="J2" s="1801"/>
      <c r="K2" s="1801"/>
      <c r="L2" s="1801"/>
      <c r="M2" s="1801"/>
      <c r="N2" s="1801"/>
      <c r="O2" s="1807"/>
      <c r="P2" s="1807"/>
      <c r="Q2" s="1808"/>
      <c r="R2" s="1804"/>
    </row>
    <row r="3" spans="1:19" s="1805" customFormat="1">
      <c r="A3" s="1800"/>
      <c r="B3" s="1800"/>
      <c r="C3" s="1801"/>
      <c r="D3" s="1801"/>
      <c r="E3" s="1801"/>
      <c r="F3" s="1809" t="inlineStr">
        <is>
          <t xml:space="preserve">ANÁLISIS DE RESTRICCIONES </t>
        </is>
      </c>
      <c r="G3" s="1801"/>
      <c r="H3" s="1801"/>
      <c r="I3" s="1801"/>
      <c r="J3" s="1801"/>
      <c r="K3" s="1801"/>
      <c r="L3" s="1801"/>
      <c r="M3" s="1801"/>
      <c r="N3" s="1801"/>
      <c r="O3" s="1807"/>
      <c r="P3" s="1807"/>
      <c r="Q3" s="1808"/>
      <c r="R3" s="1804"/>
    </row>
    <row r="4" spans="1:19" s="1805" customFormat="1">
      <c r="A4" s="1800"/>
      <c r="B4" s="1800"/>
      <c r="C4" s="1801"/>
      <c r="D4" s="1801"/>
      <c r="E4" s="1801"/>
      <c r="F4" s="1809" t="inlineStr">
        <is>
          <t xml:space="preserve">GENERAL </t>
        </is>
      </c>
      <c r="G4" s="1801"/>
      <c r="H4" s="1801"/>
      <c r="I4" s="1801"/>
      <c r="J4" s="1801"/>
      <c r="K4" s="1801"/>
      <c r="L4" s="1801"/>
      <c r="M4" s="1801"/>
      <c r="N4" s="1801"/>
      <c r="O4" s="1807"/>
      <c r="P4" s="1807"/>
      <c r="Q4" s="1810"/>
      <c r="R4" s="1804"/>
    </row>
    <row r="5" spans="1:19" s="1817" customFormat="1">
      <c r="A5" s="1800"/>
      <c r="B5" s="1800"/>
      <c r="C5" s="1811"/>
      <c r="D5" s="1811"/>
      <c r="E5" s="1811"/>
      <c r="F5" s="1812"/>
      <c r="G5" s="1813" t="inlineStr">
        <is>
          <t xml:space="preserve">PERIODO:</t>
        </is>
      </c>
      <c r="H5" s="1814">
        <f>Carátula!C18</f>
        <v>46241</v>
      </c>
      <c r="I5" s="1815" t="inlineStr">
        <is>
          <t xml:space="preserve">al</t>
        </is>
      </c>
      <c r="J5" s="1814">
        <f>Carátula!E18</f>
        <v>46247</v>
      </c>
      <c r="K5" s="1811"/>
      <c r="L5" s="1814"/>
      <c r="M5" s="1811"/>
      <c r="N5" s="1811"/>
      <c r="O5" s="1811"/>
      <c r="P5" s="1811"/>
      <c r="Q5" s="1811"/>
      <c r="R5" s="1816"/>
      <c r="S5" s="1805"/>
    </row>
    <row r="6" spans="1:19" s="1817" customFormat="1" ht="21" thickBot="1">
      <c r="A6" s="1800"/>
      <c r="B6" s="1800"/>
      <c r="C6" s="1811"/>
      <c r="D6" s="1811"/>
      <c r="E6" s="1811"/>
      <c r="F6" s="1812"/>
      <c r="G6" s="1811"/>
      <c r="H6" s="1811"/>
      <c r="I6" s="1811"/>
      <c r="J6" s="1811"/>
      <c r="K6" s="1811"/>
      <c r="L6" s="1811"/>
      <c r="M6" s="1811"/>
      <c r="N6" s="1811"/>
      <c r="O6" s="1811"/>
      <c r="P6" s="1811"/>
      <c r="Q6" s="1811"/>
      <c r="R6" s="1816"/>
    </row>
    <row r="7" spans="1:19" s="1817" customFormat="1">
      <c r="A7" s="1800"/>
      <c r="B7" s="1800"/>
      <c r="C7" s="1818" t="inlineStr">
        <is>
          <t xml:space="preserve">SEMANA :</t>
        </is>
      </c>
      <c r="D7" s="2714">
        <f>Carátula!C17</f>
        <v>33</v>
      </c>
      <c r="E7" s="2715"/>
      <c r="F7" s="1819" t="inlineStr">
        <is>
          <t xml:space="preserve">2026</t>
        </is>
      </c>
      <c r="G7" s="1820"/>
      <c r="H7" s="1821"/>
      <c r="I7" s="1815"/>
      <c r="J7" s="1822"/>
      <c r="K7" s="1822"/>
      <c r="L7" s="1822"/>
      <c r="M7" s="1823"/>
      <c r="N7" s="1823"/>
      <c r="O7" s="1823"/>
      <c r="P7" s="1823"/>
      <c r="Q7" s="1823"/>
      <c r="R7" s="1816"/>
      <c r="S7" s="1805"/>
    </row>
    <row r="8" spans="1:19" s="1828" customFormat="1" ht="146.25" customHeight="1">
      <c r="A8" s="1823"/>
      <c r="B8" s="1824" t="inlineStr">
        <is>
          <t xml:space="preserve">Item</t>
        </is>
      </c>
      <c r="C8" s="1825" t="inlineStr">
        <is>
          <t xml:space="preserve">Activity ID</t>
        </is>
      </c>
      <c r="D8" s="1825" t="inlineStr">
        <is>
          <t xml:space="preserve">Codigo</t>
        </is>
      </c>
      <c r="E8" s="1825" t="inlineStr">
        <is>
          <t xml:space="preserve">Actividad</t>
        </is>
      </c>
      <c r="F8" s="1826" t="inlineStr">
        <is>
          <t xml:space="preserve">Descripción de la Restricción</t>
        </is>
      </c>
      <c r="G8" s="1825" t="inlineStr">
        <is>
          <t xml:space="preserve">Acción necesaria  </t>
        </is>
      </c>
      <c r="H8" s="1827" t="inlineStr">
        <is>
          <t xml:space="preserve">Fecha de Identificación</t>
        </is>
      </c>
      <c r="I8" s="1825" t="inlineStr">
        <is>
          <t xml:space="preserve">Fecha de Liberación Requerida</t>
        </is>
      </c>
      <c r="J8" s="1825" t="inlineStr">
        <is>
          <t xml:space="preserve">Fecha Prevista</t>
        </is>
      </c>
      <c r="K8" s="1825" t="inlineStr">
        <is>
          <t xml:space="preserve">Nueva fecha</t>
        </is>
      </c>
      <c r="L8" s="1825" t="inlineStr">
        <is>
          <t xml:space="preserve">Área responsable de liberación  </t>
        </is>
      </c>
      <c r="M8" s="1825" t="inlineStr">
        <is>
          <t xml:space="preserve">Personal responsable de liberación  </t>
        </is>
      </c>
      <c r="N8" s="1825" t="inlineStr">
        <is>
          <t xml:space="preserve">Importancia</t>
        </is>
      </c>
      <c r="O8" s="1825" t="inlineStr">
        <is>
          <t xml:space="preserve">Fecha de Liberación programada</t>
        </is>
      </c>
      <c r="P8" s="1825" t="inlineStr">
        <is>
          <t xml:space="preserve">Estado de la restricción  </t>
        </is>
      </c>
      <c r="Q8" s="1825" t="inlineStr">
        <is>
          <t xml:space="preserve">Comentario </t>
        </is>
      </c>
      <c r="R8" s="1825" t="inlineStr">
        <is>
          <t xml:space="preserve">Comentario </t>
        </is>
      </c>
      <c r="S8" s="1825" t="inlineStr">
        <is>
          <t xml:space="preserve">Comentario</t>
        </is>
      </c>
    </row>
    <row r="9" spans="1:19" s="1828" customFormat="1" ht="40.5" hidden="1">
      <c r="A9" s="1829"/>
      <c r="B9" s="2139"/>
      <c r="C9" s="2140"/>
      <c r="D9" s="2140"/>
      <c r="E9" s="2138" t="inlineStr">
        <is>
          <t xml:space="preserve">FRENTE: INSTRUMENTACIÓN — SUMINISTRO DE INSTRUMENTOS</t>
        </is>
      </c>
      <c r="F9" s="2138"/>
      <c r="G9" s="2138"/>
      <c r="H9" s="2140"/>
      <c r="I9" s="2140"/>
      <c r="J9" s="2140"/>
      <c r="K9" s="2140"/>
      <c r="L9" s="2140"/>
      <c r="M9" s="2140"/>
      <c r="N9" s="2141"/>
      <c r="O9" s="1832"/>
      <c r="P9" s="1830"/>
      <c r="Q9" s="1833"/>
      <c r="R9" s="1834"/>
      <c r="S9" s="1835"/>
    </row>
    <row r="10" spans="1:19" s="1828" customFormat="1" ht="40.5">
      <c r="A10" s="1829"/>
      <c r="B10" s="2134">
        <v>1</v>
      </c>
      <c r="C10" s="2132" t="inlineStr">
        <is>
          <t xml:space="preserve">A1770</t>
        </is>
      </c>
      <c r="D10" s="2132" t="inlineStr">
        <is>
          <t xml:space="preserve">5.05.04</t>
        </is>
      </c>
      <c r="E10" s="2133" t="inlineStr">
        <is>
          <t xml:space="preserve">Cable multipar red DeviceNet (2PR, blindado)</t>
        </is>
      </c>
      <c r="F10" s="2133" t="inlineStr">
        <is>
          <t xml:space="preserve">Se solicita el material / instrumento para seguir con los avances programados (S36).</t>
        </is>
      </c>
      <c r="G10" s="2133" t="inlineStr">
        <is>
          <t xml:space="preserve">Seguimiento a la compra y entrega en obra antes del inicio de la S36.</t>
        </is>
      </c>
      <c r="H10" s="2142">
        <v>46248</v>
      </c>
      <c r="I10" s="2142">
        <v>46262</v>
      </c>
      <c r="J10" s="2142">
        <v>46255</v>
      </c>
      <c r="K10" s="2142"/>
      <c r="L10" s="2132" t="inlineStr">
        <is>
          <t xml:space="preserve">CPQ</t>
        </is>
      </c>
      <c r="M10" s="2132" t="inlineStr">
        <is>
          <t xml:space="preserve">Logística CPQ</t>
        </is>
      </c>
      <c r="N10" s="2134" t="inlineStr">
        <is>
          <t xml:space="preserve">BAJA</t>
        </is>
      </c>
      <c r="O10" s="2151">
        <f t="shared" ref="O10:O21" si="0">J10</f>
        <v>46255</v>
      </c>
      <c r="P10" s="1830" t="inlineStr">
        <is>
          <t xml:space="preserve">PENDIENTE</t>
        </is>
      </c>
      <c r="Q10" s="2162" t="inlineStr">
        <is>
          <t xml:space="preserve">Se solicita el material / instrumento para seguir con los avances.</t>
        </is>
      </c>
      <c r="R10" s="1834"/>
      <c r="S10" s="1835"/>
    </row>
    <row r="11" spans="1:19" s="1828" customFormat="1" ht="40.5">
      <c r="A11" s="1829"/>
      <c r="B11" s="2134">
        <v>2</v>
      </c>
      <c r="C11" s="2132" t="inlineStr">
        <is>
          <t xml:space="preserve">A1790</t>
        </is>
      </c>
      <c r="D11" s="2132" t="inlineStr">
        <is>
          <t xml:space="preserve">5.05.06</t>
        </is>
      </c>
      <c r="E11" s="2133" t="inlineStr">
        <is>
          <t xml:space="preserve">Tarjetas de comunicación DeviceNet para VFDs existentes</t>
        </is>
      </c>
      <c r="F11" s="2135" t="inlineStr">
        <is>
          <t xml:space="preserve">Se solicita el material / instrumento para seguir con los avances programados (S37).</t>
        </is>
      </c>
      <c r="G11" s="2135" t="inlineStr">
        <is>
          <t xml:space="preserve">Seguimiento a la compra y entrega en obra antes del inicio de la S37.</t>
        </is>
      </c>
      <c r="H11" s="2142">
        <v>46248</v>
      </c>
      <c r="I11" s="2142">
        <v>46269</v>
      </c>
      <c r="J11" s="2142">
        <v>46262</v>
      </c>
      <c r="K11" s="2142"/>
      <c r="L11" s="2132" t="inlineStr">
        <is>
          <t xml:space="preserve">CPQ</t>
        </is>
      </c>
      <c r="M11" s="2132" t="inlineStr">
        <is>
          <t xml:space="preserve">Logística CPQ</t>
        </is>
      </c>
      <c r="N11" s="2134" t="inlineStr">
        <is>
          <t xml:space="preserve">BAJA</t>
        </is>
      </c>
      <c r="O11" s="2151">
        <f t="shared" si="0"/>
        <v>46262</v>
      </c>
      <c r="P11" s="1831" t="inlineStr">
        <is>
          <t xml:space="preserve">PENDIENTE</t>
        </is>
      </c>
      <c r="Q11" s="2162" t="inlineStr">
        <is>
          <t xml:space="preserve">Se solicita el material / instrumento para seguir con los avances.</t>
        </is>
      </c>
      <c r="R11" s="1834"/>
      <c r="S11" s="1835"/>
    </row>
    <row r="12" spans="1:19" s="1828" customFormat="1" ht="40.5">
      <c r="A12" s="1823"/>
      <c r="B12" s="2134">
        <v>3</v>
      </c>
      <c r="C12" s="2132" t="inlineStr">
        <is>
          <t xml:space="preserve">A1560</t>
        </is>
      </c>
      <c r="D12" s="2132" t="inlineStr">
        <is>
          <t xml:space="preserve">5.03.01</t>
        </is>
      </c>
      <c r="E12" s="2133" t="inlineStr">
        <is>
          <t xml:space="preserve">Manómetros tipo bourdon con sello de diafragma Ø1/2" NPT</t>
        </is>
      </c>
      <c r="F12" s="2133" t="inlineStr">
        <is>
          <t xml:space="preserve">Se solicita el material / instrumento para seguir con los avances programados (S39).</t>
        </is>
      </c>
      <c r="G12" s="2133" t="inlineStr">
        <is>
          <t xml:space="preserve">Seguimiento a la compra y entrega en obra antes del inicio de la S39.</t>
        </is>
      </c>
      <c r="H12" s="2142">
        <v>46248</v>
      </c>
      <c r="I12" s="2142">
        <v>46283</v>
      </c>
      <c r="J12" s="2142">
        <v>46276</v>
      </c>
      <c r="K12" s="2142"/>
      <c r="L12" s="2132" t="inlineStr">
        <is>
          <t xml:space="preserve">CPQ</t>
        </is>
      </c>
      <c r="M12" s="2132" t="inlineStr">
        <is>
          <t xml:space="preserve">Logística CPQ</t>
        </is>
      </c>
      <c r="N12" s="2134" t="inlineStr">
        <is>
          <t xml:space="preserve">BAJA</t>
        </is>
      </c>
      <c r="O12" s="2151">
        <f t="shared" si="0"/>
        <v>46276</v>
      </c>
      <c r="P12" s="1832" t="inlineStr">
        <is>
          <t xml:space="preserve">PENDIENTE</t>
        </is>
      </c>
      <c r="Q12" s="2162" t="inlineStr">
        <is>
          <t xml:space="preserve">Se solicita el material / instrumento para seguir con los avances.</t>
        </is>
      </c>
      <c r="R12" s="1834"/>
      <c r="S12" s="1835"/>
    </row>
    <row r="13" spans="1:19" s="1828" customFormat="1" ht="40.5">
      <c r="A13" s="1829"/>
      <c r="B13" s="2134">
        <v>4</v>
      </c>
      <c r="C13" s="2132" t="inlineStr">
        <is>
          <t xml:space="preserve">A1570</t>
        </is>
      </c>
      <c r="D13" s="2132" t="inlineStr">
        <is>
          <t xml:space="preserve">5.03.02</t>
        </is>
      </c>
      <c r="E13" s="2133" t="inlineStr">
        <is>
          <t xml:space="preserve">Sensor de flujo electromagnético Ø1" #150 (CS/Tefzel)</t>
        </is>
      </c>
      <c r="F13" s="2133" t="inlineStr">
        <is>
          <t xml:space="preserve">Se solicita el material / instrumento para seguir con los avances programados (S40).</t>
        </is>
      </c>
      <c r="G13" s="2133" t="inlineStr">
        <is>
          <t xml:space="preserve">Seguimiento a la compra y entrega en obra antes del inicio de la S40.</t>
        </is>
      </c>
      <c r="H13" s="2142">
        <v>46248</v>
      </c>
      <c r="I13" s="2142">
        <v>46290</v>
      </c>
      <c r="J13" s="2142">
        <v>46283</v>
      </c>
      <c r="K13" s="2142"/>
      <c r="L13" s="2132" t="inlineStr">
        <is>
          <t xml:space="preserve">CPQ</t>
        </is>
      </c>
      <c r="M13" s="2132" t="inlineStr">
        <is>
          <t xml:space="preserve">Logística CPQ</t>
        </is>
      </c>
      <c r="N13" s="2134" t="inlineStr">
        <is>
          <t xml:space="preserve">BAJA</t>
        </is>
      </c>
      <c r="O13" s="2151">
        <f t="shared" si="0"/>
        <v>46283</v>
      </c>
      <c r="P13" s="1830" t="inlineStr">
        <is>
          <t xml:space="preserve">PENDIENTE</t>
        </is>
      </c>
      <c r="Q13" s="2162" t="inlineStr">
        <is>
          <t xml:space="preserve">Se solicita el material / instrumento para seguir con los avances.</t>
        </is>
      </c>
      <c r="R13" s="1834"/>
      <c r="S13" s="1835"/>
    </row>
    <row r="14" spans="1:19" s="1828" customFormat="1" ht="40.5">
      <c r="A14" s="1829"/>
      <c r="B14" s="2134">
        <v>5</v>
      </c>
      <c r="C14" s="2132" t="inlineStr">
        <is>
          <t xml:space="preserve">A1580</t>
        </is>
      </c>
      <c r="D14" s="2132" t="inlineStr">
        <is>
          <t xml:space="preserve">5.03.03</t>
        </is>
      </c>
      <c r="E14" s="2133" t="inlineStr">
        <is>
          <t xml:space="preserve">Sensor de flujo electromagnético Ø1/2" #150 (CS/Tefzel)</t>
        </is>
      </c>
      <c r="F14" s="2135" t="inlineStr">
        <is>
          <t xml:space="preserve">Se solicita el material / instrumento para seguir con los avances programados (S40).</t>
        </is>
      </c>
      <c r="G14" s="2136" t="inlineStr">
        <is>
          <t xml:space="preserve">Seguimiento a la compra y entrega en obra antes del inicio de la S40.</t>
        </is>
      </c>
      <c r="H14" s="2142">
        <v>46248</v>
      </c>
      <c r="I14" s="2142">
        <v>46290</v>
      </c>
      <c r="J14" s="2142">
        <v>46283</v>
      </c>
      <c r="K14" s="2142"/>
      <c r="L14" s="2132" t="inlineStr">
        <is>
          <t xml:space="preserve">CPQ</t>
        </is>
      </c>
      <c r="M14" s="2132" t="inlineStr">
        <is>
          <t xml:space="preserve">Logística CPQ</t>
        </is>
      </c>
      <c r="N14" s="2134" t="inlineStr">
        <is>
          <t xml:space="preserve">BAJA</t>
        </is>
      </c>
      <c r="O14" s="2151">
        <f t="shared" si="0"/>
        <v>46283</v>
      </c>
      <c r="P14" s="1830" t="inlineStr">
        <is>
          <t xml:space="preserve">PENDIENTE</t>
        </is>
      </c>
      <c r="Q14" s="2162" t="inlineStr">
        <is>
          <t xml:space="preserve">Se solicita el material / instrumento para seguir con los avances.</t>
        </is>
      </c>
      <c r="R14" s="1834"/>
      <c r="S14" s="1835"/>
    </row>
    <row r="15" spans="1:19" s="1828" customFormat="1" ht="40.5">
      <c r="A15" s="1829"/>
      <c r="B15" s="2134">
        <v>6</v>
      </c>
      <c r="C15" s="2132" t="inlineStr">
        <is>
          <t xml:space="preserve">A1590</t>
        </is>
      </c>
      <c r="D15" s="2132" t="inlineStr">
        <is>
          <t xml:space="preserve">5.03.04</t>
        </is>
      </c>
      <c r="E15" s="2133" t="inlineStr">
        <is>
          <t xml:space="preserve">Sensor de flujo electromagnético Ø1-1/2" #150 (SS/PTFE)</t>
        </is>
      </c>
      <c r="F15" s="2133" t="inlineStr">
        <is>
          <t xml:space="preserve">Se solicita el material / instrumento para seguir con los avances programados (S40).</t>
        </is>
      </c>
      <c r="G15" s="2133" t="inlineStr">
        <is>
          <t xml:space="preserve">Seguimiento a la compra y entrega en obra antes del inicio de la S40.</t>
        </is>
      </c>
      <c r="H15" s="2142">
        <v>46248</v>
      </c>
      <c r="I15" s="2142">
        <v>46290</v>
      </c>
      <c r="J15" s="2142">
        <v>46283</v>
      </c>
      <c r="K15" s="2142"/>
      <c r="L15" s="2132" t="inlineStr">
        <is>
          <t xml:space="preserve">CPQ</t>
        </is>
      </c>
      <c r="M15" s="2132" t="inlineStr">
        <is>
          <t xml:space="preserve">Logística CPQ</t>
        </is>
      </c>
      <c r="N15" s="2134" t="inlineStr">
        <is>
          <t xml:space="preserve">BAJA</t>
        </is>
      </c>
      <c r="O15" s="2151">
        <f t="shared" si="0"/>
        <v>46283</v>
      </c>
      <c r="P15" s="1830" t="inlineStr">
        <is>
          <t xml:space="preserve">PENDIENTE</t>
        </is>
      </c>
      <c r="Q15" s="2162" t="inlineStr">
        <is>
          <t xml:space="preserve">Se solicita el material / instrumento para seguir con los avances.</t>
        </is>
      </c>
      <c r="R15" s="1834"/>
      <c r="S15" s="1835"/>
    </row>
    <row r="16" spans="1:19" s="1828" customFormat="1" ht="40.5">
      <c r="A16" s="1829"/>
      <c r="B16" s="2134">
        <v>7</v>
      </c>
      <c r="C16" s="2133" t="inlineStr">
        <is>
          <t xml:space="preserve">A1600</t>
        </is>
      </c>
      <c r="D16" s="2133" t="inlineStr">
        <is>
          <t xml:space="preserve">5.03.05</t>
        </is>
      </c>
      <c r="E16" s="2135" t="inlineStr">
        <is>
          <t xml:space="preserve">Sensor de flujo electromagnético Ø1" #150 (SS/PTFE)</t>
        </is>
      </c>
      <c r="F16" s="2136" t="inlineStr">
        <is>
          <t xml:space="preserve">Se solicita el material / instrumento para seguir con los avances programados (S40).</t>
        </is>
      </c>
      <c r="G16" s="2136" t="inlineStr">
        <is>
          <t xml:space="preserve">Seguimiento a la compra y entrega en obra antes del inicio de la S40.</t>
        </is>
      </c>
      <c r="H16" s="2142">
        <v>46248</v>
      </c>
      <c r="I16" s="2142">
        <v>46290</v>
      </c>
      <c r="J16" s="2142">
        <v>46283</v>
      </c>
      <c r="K16" s="2142"/>
      <c r="L16" s="2132" t="inlineStr">
        <is>
          <t xml:space="preserve">CPQ</t>
        </is>
      </c>
      <c r="M16" s="2132" t="inlineStr">
        <is>
          <t xml:space="preserve">Logística CPQ</t>
        </is>
      </c>
      <c r="N16" s="2134" t="inlineStr">
        <is>
          <t xml:space="preserve">BAJA</t>
        </is>
      </c>
      <c r="O16" s="2151">
        <f t="shared" si="0"/>
        <v>46283</v>
      </c>
      <c r="P16" s="1832" t="inlineStr">
        <is>
          <t xml:space="preserve">PENDIENTE</t>
        </is>
      </c>
      <c r="Q16" s="2162" t="inlineStr">
        <is>
          <t xml:space="preserve">Se solicita el material / instrumento para seguir con los avances.</t>
        </is>
      </c>
      <c r="R16" s="1834"/>
      <c r="S16" s="1835"/>
    </row>
    <row r="17" spans="1:19" s="1828" customFormat="1" ht="40.5">
      <c r="A17" s="1829"/>
      <c r="B17" s="2134">
        <v>8</v>
      </c>
      <c r="C17" s="2132" t="inlineStr">
        <is>
          <t xml:space="preserve">A1620</t>
        </is>
      </c>
      <c r="D17" s="2132" t="inlineStr">
        <is>
          <t xml:space="preserve">5.03.07</t>
        </is>
      </c>
      <c r="E17" s="2133" t="inlineStr">
        <is>
          <t xml:space="preserve">Sensor/transmisor de nivel radar (antena PVDF, Ø1-1/2")</t>
        </is>
      </c>
      <c r="F17" s="2133" t="inlineStr">
        <is>
          <t xml:space="preserve">Se solicita el material / instrumento para seguir con los avances programados (S40).</t>
        </is>
      </c>
      <c r="G17" s="2133" t="inlineStr">
        <is>
          <t xml:space="preserve">Seguimiento a la compra y entrega en obra antes del inicio de la S40.</t>
        </is>
      </c>
      <c r="H17" s="2142">
        <v>46248</v>
      </c>
      <c r="I17" s="2142">
        <v>46290</v>
      </c>
      <c r="J17" s="2142">
        <v>46283</v>
      </c>
      <c r="K17" s="2142"/>
      <c r="L17" s="2132" t="inlineStr">
        <is>
          <t xml:space="preserve">CPQ</t>
        </is>
      </c>
      <c r="M17" s="2132" t="inlineStr">
        <is>
          <t xml:space="preserve">Logística CPQ</t>
        </is>
      </c>
      <c r="N17" s="2134" t="inlineStr">
        <is>
          <t xml:space="preserve">BAJA</t>
        </is>
      </c>
      <c r="O17" s="2151">
        <f t="shared" si="0"/>
        <v>46283</v>
      </c>
      <c r="P17" s="1830" t="inlineStr">
        <is>
          <t xml:space="preserve">PENDIENTE</t>
        </is>
      </c>
      <c r="Q17" s="2162" t="inlineStr">
        <is>
          <t xml:space="preserve">Se solicita el material / instrumento para seguir con los avances.</t>
        </is>
      </c>
      <c r="R17" s="1834"/>
      <c r="S17" s="1835"/>
    </row>
    <row r="18" spans="1:19" s="1828" customFormat="1" ht="40.5">
      <c r="A18" s="1829"/>
      <c r="B18" s="2134">
        <v>9</v>
      </c>
      <c r="C18" s="2132" t="inlineStr">
        <is>
          <t xml:space="preserve">A1610</t>
        </is>
      </c>
      <c r="D18" s="2132" t="inlineStr">
        <is>
          <t xml:space="preserve">5.03.06</t>
        </is>
      </c>
      <c r="E18" s="2133" t="inlineStr">
        <is>
          <t xml:space="preserve">Transmisores indicadores de flujo digitales (4-20mA+HART)</t>
        </is>
      </c>
      <c r="F18" s="2135" t="inlineStr">
        <is>
          <t xml:space="preserve">Se solicita el material / instrumento para seguir con los avances programados (S41).</t>
        </is>
      </c>
      <c r="G18" s="2135" t="inlineStr">
        <is>
          <t xml:space="preserve">Seguimiento a la compra y entrega en obra antes del inicio de la S41.</t>
        </is>
      </c>
      <c r="H18" s="2142">
        <v>46248</v>
      </c>
      <c r="I18" s="2142">
        <v>46297</v>
      </c>
      <c r="J18" s="2142">
        <v>46290</v>
      </c>
      <c r="K18" s="2142"/>
      <c r="L18" s="2132" t="inlineStr">
        <is>
          <t xml:space="preserve">CPQ</t>
        </is>
      </c>
      <c r="M18" s="2132" t="inlineStr">
        <is>
          <t xml:space="preserve">Logística CPQ</t>
        </is>
      </c>
      <c r="N18" s="2153" t="inlineStr">
        <is>
          <t xml:space="preserve">BAJA</t>
        </is>
      </c>
      <c r="O18" s="2151">
        <f t="shared" si="0"/>
        <v>46290</v>
      </c>
      <c r="P18" s="1836" t="inlineStr">
        <is>
          <t xml:space="preserve">PENDIENTE</t>
        </is>
      </c>
      <c r="Q18" s="2162" t="inlineStr">
        <is>
          <t xml:space="preserve">Se solicita el material / instrumento para seguir con los avances.</t>
        </is>
      </c>
      <c r="R18" s="1834"/>
      <c r="S18" s="1835"/>
    </row>
    <row r="19" spans="1:19" s="1828" customFormat="1" ht="40.5">
      <c r="A19" s="1829"/>
      <c r="B19" s="2134">
        <v>10</v>
      </c>
      <c r="C19" s="2132" t="inlineStr">
        <is>
          <t xml:space="preserve">A1630</t>
        </is>
      </c>
      <c r="D19" s="2132" t="inlineStr">
        <is>
          <t xml:space="preserve">5.03.08</t>
        </is>
      </c>
      <c r="E19" s="2133" t="inlineStr">
        <is>
          <t xml:space="preserve">Indicador de nivel digital programable</t>
        </is>
      </c>
      <c r="F19" s="2135" t="inlineStr">
        <is>
          <t xml:space="preserve">Se solicita el material / instrumento para seguir con los avances programados (S41).</t>
        </is>
      </c>
      <c r="G19" s="2135" t="inlineStr">
        <is>
          <t xml:space="preserve">Seguimiento a la compra y entrega en obra antes del inicio de la S41.</t>
        </is>
      </c>
      <c r="H19" s="2142">
        <v>46248</v>
      </c>
      <c r="I19" s="2142">
        <v>46297</v>
      </c>
      <c r="J19" s="2142">
        <v>46290</v>
      </c>
      <c r="K19" s="2142"/>
      <c r="L19" s="2132" t="inlineStr">
        <is>
          <t xml:space="preserve">CPQ</t>
        </is>
      </c>
      <c r="M19" s="2132" t="inlineStr">
        <is>
          <t xml:space="preserve">Logística CPQ</t>
        </is>
      </c>
      <c r="N19" s="2153" t="inlineStr">
        <is>
          <t xml:space="preserve">BAJA</t>
        </is>
      </c>
      <c r="O19" s="2151">
        <f t="shared" si="0"/>
        <v>46290</v>
      </c>
      <c r="P19" s="1836" t="inlineStr">
        <is>
          <t xml:space="preserve">PENDIENTE</t>
        </is>
      </c>
      <c r="Q19" s="2162" t="inlineStr">
        <is>
          <t xml:space="preserve">Se solicita el material / instrumento para seguir con los avances.</t>
        </is>
      </c>
      <c r="R19" s="1834"/>
      <c r="S19" s="1835"/>
    </row>
    <row r="20" spans="1:19" s="1828" customFormat="1" ht="40.5">
      <c r="A20" s="1829"/>
      <c r="B20" s="2134">
        <v>11</v>
      </c>
      <c r="C20" s="2132" t="inlineStr">
        <is>
          <t xml:space="preserve">A1700</t>
        </is>
      </c>
      <c r="D20" s="2132" t="inlineStr">
        <is>
          <t xml:space="preserve">5.04.01</t>
        </is>
      </c>
      <c r="E20" s="2133" t="inlineStr">
        <is>
          <t xml:space="preserve">Válvula de control tipo globo Ø2" #150 c/actuador y posicionador</t>
        </is>
      </c>
      <c r="F20" s="2135" t="inlineStr">
        <is>
          <t xml:space="preserve">Se solicita el material / instrumento para seguir con los avances programados (S41).</t>
        </is>
      </c>
      <c r="G20" s="2135" t="inlineStr">
        <is>
          <t xml:space="preserve">Seguimiento a la compra y entrega en obra antes del inicio de la S41.</t>
        </is>
      </c>
      <c r="H20" s="2142">
        <v>46248</v>
      </c>
      <c r="I20" s="2142">
        <v>46297</v>
      </c>
      <c r="J20" s="2142">
        <v>46290</v>
      </c>
      <c r="K20" s="2142"/>
      <c r="L20" s="2132" t="inlineStr">
        <is>
          <t xml:space="preserve">CPQ</t>
        </is>
      </c>
      <c r="M20" s="2132" t="inlineStr">
        <is>
          <t xml:space="preserve">Logística CPQ</t>
        </is>
      </c>
      <c r="N20" s="2153" t="inlineStr">
        <is>
          <t xml:space="preserve">BAJA</t>
        </is>
      </c>
      <c r="O20" s="2151">
        <f t="shared" si="0"/>
        <v>46290</v>
      </c>
      <c r="P20" s="1836" t="inlineStr">
        <is>
          <t xml:space="preserve">PENDIENTE</t>
        </is>
      </c>
      <c r="Q20" s="2162" t="inlineStr">
        <is>
          <t xml:space="preserve">Se solicita el material / instrumento para seguir con los avances.</t>
        </is>
      </c>
      <c r="R20" s="1834"/>
      <c r="S20" s="1835"/>
    </row>
    <row r="21" spans="1:19" s="1828" customFormat="1" ht="40.5">
      <c r="A21" s="1829"/>
      <c r="B21" s="2134">
        <v>12</v>
      </c>
      <c r="C21" s="2132" t="inlineStr">
        <is>
          <t xml:space="preserve">A1710</t>
        </is>
      </c>
      <c r="D21" s="2132" t="inlineStr">
        <is>
          <t xml:space="preserve">5.04.02</t>
        </is>
      </c>
      <c r="E21" s="2133" t="inlineStr">
        <is>
          <t xml:space="preserve">Válvula de control tipo globo Ø1-1/2" #150 c/actuador y posicionador</t>
        </is>
      </c>
      <c r="F21" s="2135" t="inlineStr">
        <is>
          <t xml:space="preserve">Se solicita el material / instrumento para seguir con los avances programados (S41).</t>
        </is>
      </c>
      <c r="G21" s="2135" t="inlineStr">
        <is>
          <t xml:space="preserve">Seguimiento a la compra y entrega en obra antes del inicio de la S41.</t>
        </is>
      </c>
      <c r="H21" s="2142">
        <v>46248</v>
      </c>
      <c r="I21" s="2142">
        <v>46297</v>
      </c>
      <c r="J21" s="2142">
        <v>46290</v>
      </c>
      <c r="K21" s="2142"/>
      <c r="L21" s="2132" t="inlineStr">
        <is>
          <t xml:space="preserve">CPQ</t>
        </is>
      </c>
      <c r="M21" s="2132" t="inlineStr">
        <is>
          <t xml:space="preserve">Logística CPQ</t>
        </is>
      </c>
      <c r="N21" s="2153" t="inlineStr">
        <is>
          <t xml:space="preserve">BAJA</t>
        </is>
      </c>
      <c r="O21" s="2151">
        <f t="shared" si="0"/>
        <v>46290</v>
      </c>
      <c r="P21" s="1836" t="inlineStr">
        <is>
          <t xml:space="preserve">PENDIENTE</t>
        </is>
      </c>
      <c r="Q21" s="2162" t="inlineStr">
        <is>
          <t xml:space="preserve">Se solicita el material / instrumento para seguir con los avances.</t>
        </is>
      </c>
      <c r="R21" s="1834"/>
      <c r="S21" s="1835"/>
    </row>
    <row r="22" spans="1:19" s="1828" customFormat="1" ht="40.5">
      <c r="A22" s="1829"/>
      <c r="B22" s="2141"/>
      <c r="C22" s="2140"/>
      <c r="D22" s="2140"/>
      <c r="E22" s="2138" t="inlineStr">
        <is>
          <t xml:space="preserve">FRENTE: MECÁNICA — SUMINISTROS Y LIBERACIONES DE MINA (MY)</t>
        </is>
      </c>
      <c r="F22" s="2148"/>
      <c r="G22" s="2148"/>
      <c r="H22" s="2149"/>
      <c r="I22" s="2149"/>
      <c r="J22" s="2149"/>
      <c r="K22" s="2149"/>
      <c r="L22" s="2140"/>
      <c r="M22" s="2140"/>
      <c r="N22" s="2154"/>
      <c r="O22" s="2150"/>
      <c r="P22" s="2137"/>
      <c r="Q22" s="2162"/>
      <c r="R22" s="1834"/>
      <c r="S22" s="1835"/>
    </row>
    <row r="23" spans="1:19" s="1828" customFormat="1" ht="60.75">
      <c r="A23" s="1829"/>
      <c r="B23" s="2134">
        <v>13</v>
      </c>
      <c r="C23" s="2132" t="inlineStr">
        <is>
          <t xml:space="preserve">A1340</t>
        </is>
      </c>
      <c r="D23" s="2132" t="inlineStr">
        <is>
          <t xml:space="preserve">3.06.01</t>
        </is>
      </c>
      <c r="E23" s="2133" t="inlineStr">
        <is>
          <t xml:space="preserve">Tubería y accesorios 3" AA1B — materiales entregados por MY</t>
        </is>
      </c>
      <c r="F23" s="2135" t="inlineStr">
        <is>
          <t xml:space="preserve">Se solicita el material a MY para seguir con los avances programados (S34).</t>
        </is>
      </c>
      <c r="G23" s="2135" t="inlineStr">
        <is>
          <t xml:space="preserve">Coordinar con MY la entrega / liberación antes del inicio de la S34.</t>
        </is>
      </c>
      <c r="H23" s="2142">
        <v>46248</v>
      </c>
      <c r="I23" s="2142">
        <v>46248</v>
      </c>
      <c r="J23" s="2142">
        <v>46241</v>
      </c>
      <c r="K23" s="2142"/>
      <c r="L23" s="2132" t="inlineStr">
        <is>
          <t xml:space="preserve">MY</t>
        </is>
      </c>
      <c r="M23" s="2132" t="inlineStr">
        <is>
          <t xml:space="preserve">Almacén / Operaciones MY</t>
        </is>
      </c>
      <c r="N23" s="2153" t="inlineStr">
        <is>
          <t xml:space="preserve">BAJA</t>
        </is>
      </c>
      <c r="O23" s="2151">
        <v>46241</v>
      </c>
      <c r="P23" s="1836" t="inlineStr">
        <is>
          <t xml:space="preserve">PENDIENTE</t>
        </is>
      </c>
      <c r="Q23" s="2162" t="inlineStr">
        <is>
          <t xml:space="preserve">Se solicita el material a MY para seguir con los avances.</t>
        </is>
      </c>
      <c r="R23" s="1834"/>
      <c r="S23" s="1835"/>
    </row>
    <row r="24" spans="1:19" s="1828" customFormat="1" ht="60.75">
      <c r="A24" s="1829"/>
      <c r="B24" s="2134">
        <v>14</v>
      </c>
      <c r="C24" s="2132" t="inlineStr">
        <is>
          <t xml:space="preserve">A1350</t>
        </is>
      </c>
      <c r="D24" s="2132" t="inlineStr">
        <is>
          <t xml:space="preserve">3.06.02</t>
        </is>
      </c>
      <c r="E24" s="2133" t="inlineStr">
        <is>
          <t xml:space="preserve">Tubería y accesorios 4" AA1B — materiales entregados por MY</t>
        </is>
      </c>
      <c r="F24" s="2135" t="inlineStr">
        <is>
          <t xml:space="preserve">Se solicita el material a MY para seguir con los avances programados (S37).</t>
        </is>
      </c>
      <c r="G24" s="2135" t="inlineStr">
        <is>
          <t xml:space="preserve">Coordinar con MY la entrega / liberación antes del inicio de la S37.</t>
        </is>
      </c>
      <c r="H24" s="2142">
        <v>46248</v>
      </c>
      <c r="I24" s="2142">
        <v>46269</v>
      </c>
      <c r="J24" s="2142">
        <v>46262</v>
      </c>
      <c r="K24" s="2142"/>
      <c r="L24" s="2132" t="inlineStr">
        <is>
          <t xml:space="preserve">MY</t>
        </is>
      </c>
      <c r="M24" s="2132" t="inlineStr">
        <is>
          <t xml:space="preserve">Almacén / Operaciones MY</t>
        </is>
      </c>
      <c r="N24" s="2153" t="inlineStr">
        <is>
          <t xml:space="preserve">BAJA</t>
        </is>
      </c>
      <c r="O24" s="2151">
        <v>46262</v>
      </c>
      <c r="P24" s="1836" t="inlineStr">
        <is>
          <t xml:space="preserve">PENDIENTE</t>
        </is>
      </c>
      <c r="Q24" s="2162" t="inlineStr">
        <is>
          <t xml:space="preserve">Se solicita el material a MY para seguir con los avances.</t>
        </is>
      </c>
      <c r="R24" s="1834"/>
      <c r="S24" s="1835"/>
    </row>
    <row r="25" spans="1:19" s="1828" customFormat="1" ht="60.75">
      <c r="A25" s="1829"/>
      <c r="B25" s="2134">
        <v>15</v>
      </c>
      <c r="C25" s="2132" t="inlineStr">
        <is>
          <t xml:space="preserve">A1270</t>
        </is>
      </c>
      <c r="D25" s="2152" t="inlineStr">
        <is>
          <t xml:space="preserve">3.04</t>
        </is>
      </c>
      <c r="E25" s="2133" t="inlineStr">
        <is>
          <t xml:space="preserve">Bombas de dosificación de floculante (5 und) — equipo entregado por MY</t>
        </is>
      </c>
      <c r="F25" s="2135" t="inlineStr">
        <is>
          <t xml:space="preserve">Se solicita el material a MY para seguir con los avances programados (S36).</t>
        </is>
      </c>
      <c r="G25" s="2135" t="inlineStr">
        <is>
          <t xml:space="preserve">Coordinar con MY la entrega / liberación antes del inicio de la S36.</t>
        </is>
      </c>
      <c r="H25" s="2142">
        <v>46248</v>
      </c>
      <c r="I25" s="2142">
        <v>46262</v>
      </c>
      <c r="J25" s="2142">
        <v>46255</v>
      </c>
      <c r="K25" s="2142"/>
      <c r="L25" s="2132" t="inlineStr">
        <is>
          <t xml:space="preserve">MY</t>
        </is>
      </c>
      <c r="M25" s="2132" t="inlineStr">
        <is>
          <t xml:space="preserve">Almacén / Operaciones MY</t>
        </is>
      </c>
      <c r="N25" s="2153" t="inlineStr">
        <is>
          <t xml:space="preserve">BAJA</t>
        </is>
      </c>
      <c r="O25" s="2151">
        <v>46255</v>
      </c>
      <c r="P25" s="1836" t="inlineStr">
        <is>
          <t xml:space="preserve">PENDIENTE</t>
        </is>
      </c>
      <c r="Q25" s="2162" t="inlineStr">
        <is>
          <t xml:space="preserve">Se solicita el material a MY para seguir con los avances.</t>
        </is>
      </c>
      <c r="R25" s="1834"/>
      <c r="S25" s="1835"/>
    </row>
    <row r="26" spans="1:19" s="1828" customFormat="1" ht="60.75">
      <c r="A26" s="1829"/>
      <c r="B26" s="2134">
        <v>16</v>
      </c>
      <c r="C26" s="2132" t="inlineStr">
        <is>
          <t xml:space="preserve">A1320</t>
        </is>
      </c>
      <c r="D26" s="2152" t="inlineStr">
        <is>
          <t xml:space="preserve">3.05</t>
        </is>
      </c>
      <c r="E26" s="2133" t="inlineStr">
        <is>
          <t xml:space="preserve">Bombas para agua de dilución (2 und) — equipo entregado por MY</t>
        </is>
      </c>
      <c r="F26" s="2135" t="inlineStr">
        <is>
          <t xml:space="preserve">Se solicita el material a MY para seguir con los avances programados (S43).</t>
        </is>
      </c>
      <c r="G26" s="2135" t="inlineStr">
        <is>
          <t xml:space="preserve">Coordinar con MY la entrega / liberación antes del inicio de la S43.</t>
        </is>
      </c>
      <c r="H26" s="2142">
        <v>46248</v>
      </c>
      <c r="I26" s="2142">
        <v>46311</v>
      </c>
      <c r="J26" s="2142">
        <v>46304</v>
      </c>
      <c r="K26" s="2142"/>
      <c r="L26" s="2132" t="inlineStr">
        <is>
          <t xml:space="preserve">MY</t>
        </is>
      </c>
      <c r="M26" s="2132" t="inlineStr">
        <is>
          <t xml:space="preserve">Almacén / Operaciones MY</t>
        </is>
      </c>
      <c r="N26" s="2153" t="inlineStr">
        <is>
          <t xml:space="preserve">BAJA</t>
        </is>
      </c>
      <c r="O26" s="2151">
        <v>46304</v>
      </c>
      <c r="P26" s="1836" t="inlineStr">
        <is>
          <t xml:space="preserve">PENDIENTE</t>
        </is>
      </c>
      <c r="Q26" s="2162" t="inlineStr">
        <is>
          <t xml:space="preserve">Se solicita el material a MY para seguir con los avances.</t>
        </is>
      </c>
      <c r="R26" s="1834"/>
      <c r="S26" s="1835"/>
    </row>
    <row r="27" spans="1:19" s="1828" customFormat="1" ht="60.75">
      <c r="A27" s="1829"/>
      <c r="B27" s="2134">
        <v>17</v>
      </c>
      <c r="C27" s="2132" t="inlineStr">
        <is>
          <t xml:space="preserve">A1400</t>
        </is>
      </c>
      <c r="D27" s="2152" t="inlineStr">
        <is>
          <t xml:space="preserve">3.07</t>
        </is>
      </c>
      <c r="E27" s="2133" t="inlineStr">
        <is>
          <t xml:space="preserve">Tie-ins M-001/M-002 — liberación de línea por MY</t>
        </is>
      </c>
      <c r="F27" s="2135" t="inlineStr">
        <is>
          <t xml:space="preserve">Se solicita el material a MY para seguir con los avances programados (S40).</t>
        </is>
      </c>
      <c r="G27" s="2135" t="inlineStr">
        <is>
          <t xml:space="preserve">Coordinar con MY la entrega / liberación antes del inicio de la S40.</t>
        </is>
      </c>
      <c r="H27" s="2142">
        <v>46248</v>
      </c>
      <c r="I27" s="2142">
        <v>46290</v>
      </c>
      <c r="J27" s="2142">
        <v>46283</v>
      </c>
      <c r="K27" s="2142"/>
      <c r="L27" s="2132" t="inlineStr">
        <is>
          <t xml:space="preserve">MY</t>
        </is>
      </c>
      <c r="M27" s="2132" t="inlineStr">
        <is>
          <t xml:space="preserve">Almacén / Operaciones MY</t>
        </is>
      </c>
      <c r="N27" s="2153" t="inlineStr">
        <is>
          <t xml:space="preserve">BAJA</t>
        </is>
      </c>
      <c r="O27" s="2151">
        <v>46283</v>
      </c>
      <c r="P27" s="1836" t="inlineStr">
        <is>
          <t xml:space="preserve">PENDIENTE</t>
        </is>
      </c>
      <c r="Q27" s="2162" t="inlineStr">
        <is>
          <t xml:space="preserve">Se solicita el material a MY para seguir con los avances.</t>
        </is>
      </c>
      <c r="R27" s="1834"/>
      <c r="S27" s="1835"/>
    </row>
    <row r="28" spans="1:19" s="1828" customForma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s="1828" customFormat="1" ht="15.95" customHeight="1">
      <c r="A29"/>
      <c r="B29" s="2155" t="inlineStr">
        <is>
          <t xml:space="preserve">LEYENDA</t>
        </is>
      </c>
      <c r="C29" s="2156"/>
      <c r="D29" s="2156"/>
      <c r="E29" s="2156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s="1828" customFormat="1" ht="15.95" customHeight="1">
      <c r="A30"/>
      <c r="B30" s="2156" t="inlineStr">
        <is>
          <t xml:space="preserve">Importancia:</t>
        </is>
      </c>
      <c r="C30" s="2157" t="inlineStr">
        <is>
          <t xml:space="preserve">ALTA</t>
        </is>
      </c>
      <c r="D30" s="2158" t="inlineStr">
        <is>
          <t xml:space="preserve">MEDIA</t>
        </is>
      </c>
      <c r="E30" s="2160" t="inlineStr">
        <is>
          <t xml:space="preserve">BAJA</t>
        </is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s="1828" customFormat="1" ht="15.95" customHeight="1">
      <c r="A31"/>
      <c r="B31" s="2156" t="inlineStr">
        <is>
          <t xml:space="preserve">Estado:</t>
        </is>
      </c>
      <c r="C31" s="2163" t="inlineStr">
        <is>
          <t xml:space="preserve">PENDIENTE</t>
        </is>
      </c>
      <c r="D31" s="2161" t="inlineStr">
        <is>
          <t xml:space="preserve">LIBERADA</t>
        </is>
      </c>
      <c r="E31" s="2159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s="1828" customForma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s="1828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</sheetData>
  <protectedRanges>
    <protectedRange sqref="O11:P11 N9:N17 N28 N30 N32" name="Rango1_4_1_1_1_1"/>
  </protectedRanges>
  <autoFilter ref="B8:Q18" xr:uid="{E9514126-B624-4EEE-9802-A821D3726671}"/>
  <mergeCells count="1">
    <mergeCell ref="D7:E7"/>
  </mergeCells>
  <conditionalFormatting sqref="N1:N27 N46:N1048576">
    <cfRule type="cellIs" dxfId="4" priority="4" stopIfTrue="1" operator="equal">
      <formula>"BAJA"</formula>
    </cfRule>
    <cfRule type="cellIs" dxfId="3" priority="5" stopIfTrue="1" operator="equal">
      <formula>"MEDIA"</formula>
    </cfRule>
    <cfRule type="cellIs" dxfId="2" priority="6" stopIfTrue="1" operator="equal">
      <formula>"ALTA"</formula>
    </cfRule>
  </conditionalFormatting>
  <conditionalFormatting sqref="P10:P27">
    <cfRule type="containsText" dxfId="1" priority="7" operator="containsText" text="PENDIENTE">
      <formula>NOT(ISERROR(SEARCH("PENDIENTE",P10)))</formula>
    </cfRule>
    <cfRule type="containsText" dxfId="0" priority="8" operator="containsText" text="LIBERADA">
      <formula>NOT(ISERROR(SEARCH("LIBERADA",P10)))</formula>
    </cfRule>
  </conditionalFormatting>
  <dataValidations count="4">
    <dataValidation type="list" allowBlank="1" showInputMessage="1" showErrorMessage="1" sqref="O11:P11 N9:N17" xr:uid="{670328E0-FB9E-4D5C-8E64-EEE05A21FB80}"/>
    <dataValidation type="list" allowBlank="1" showInputMessage="1" showErrorMessage="1" sqref="WUS980880:WUT983020 IG63376:IH65516 SC63376:SD65516 ABY63376:ABZ65516 ALU63376:ALV65516 AVQ63376:AVR65516 BFM63376:BFN65516 BPI63376:BPJ65516 BZE63376:BZF65516 CJA63376:CJB65516 CSW63376:CSX65516 DCS63376:DCT65516 DMO63376:DMP65516 DWK63376:DWL65516 EGG63376:EGH65516 EQC63376:EQD65516 EZY63376:EZZ65516 FJU63376:FJV65516 FTQ63376:FTR65516 GDM63376:GDN65516 GNI63376:GNJ65516 GXE63376:GXF65516 HHA63376:HHB65516 HQW63376:HQX65516 IAS63376:IAT65516 IKO63376:IKP65516 IUK63376:IUL65516 JEG63376:JEH65516 JOC63376:JOD65516 JXY63376:JXZ65516 KHU63376:KHV65516 KRQ63376:KRR65516 LBM63376:LBN65516 LLI63376:LLJ65516 LVE63376:LVF65516 MFA63376:MFB65516 MOW63376:MOX65516 MYS63376:MYT65516 NIO63376:NIP65516 NSK63376:NSL65516 OCG63376:OCH65516 OMC63376:OMD65516 OVY63376:OVZ65516 PFU63376:PFV65516 PPQ63376:PPR65516 PZM63376:PZN65516 QJI63376:QJJ65516 QTE63376:QTF65516 RDA63376:RDB65516 RMW63376:RMX65516 RWS63376:RWT65516 SGO63376:SGP65516 SQK63376:SQL65516 TAG63376:TAH65516 TKC63376:TKD65516 TTY63376:TTZ65516 UDU63376:UDV65516 UNQ63376:UNR65516 UXM63376:UXN65516 VHI63376:VHJ65516 VRE63376:VRF65516 WBA63376:WBB65516 WKW63376:WKX65516 WUS63376:WUT65516 IG128912:IH131052 SC128912:SD131052 ABY128912:ABZ131052 ALU128912:ALV131052 AVQ128912:AVR131052 BFM128912:BFN131052 BPI128912:BPJ131052 BZE128912:BZF131052 CJA128912:CJB131052 CSW128912:CSX131052 DCS128912:DCT131052 DMO128912:DMP131052 DWK128912:DWL131052 EGG128912:EGH131052 EQC128912:EQD131052 EZY128912:EZZ131052 FJU128912:FJV131052 FTQ128912:FTR131052 GDM128912:GDN131052 GNI128912:GNJ131052 GXE128912:GXF131052 HHA128912:HHB131052 HQW128912:HQX131052 IAS128912:IAT131052 IKO128912:IKP131052 IUK128912:IUL131052 JEG128912:JEH131052 JOC128912:JOD131052 JXY128912:JXZ131052 KHU128912:KHV131052 KRQ128912:KRR131052 LBM128912:LBN131052 LLI128912:LLJ131052 LVE128912:LVF131052 MFA128912:MFB131052 MOW128912:MOX131052 MYS128912:MYT131052 NIO128912:NIP131052 NSK128912:NSL131052 OCG128912:OCH131052 OMC128912:OMD131052 OVY128912:OVZ131052 PFU128912:PFV131052 PPQ128912:PPR131052 PZM128912:PZN131052 QJI128912:QJJ131052 QTE128912:QTF131052 RDA128912:RDB131052 RMW128912:RMX131052 RWS128912:RWT131052 SGO128912:SGP131052 SQK128912:SQL131052 TAG128912:TAH131052 TKC128912:TKD131052 TTY128912:TTZ131052 UDU128912:UDV131052 UNQ128912:UNR131052 UXM128912:UXN131052 VHI128912:VHJ131052 VRE128912:VRF131052 WBA128912:WBB131052 WKW128912:WKX131052 WUS128912:WUT131052 IG194448:IH196588 SC194448:SD196588 ABY194448:ABZ196588 ALU194448:ALV196588 AVQ194448:AVR196588 BFM194448:BFN196588 BPI194448:BPJ196588 BZE194448:BZF196588 CJA194448:CJB196588 CSW194448:CSX196588 DCS194448:DCT196588 DMO194448:DMP196588 DWK194448:DWL196588 EGG194448:EGH196588 EQC194448:EQD196588 EZY194448:EZZ196588 FJU194448:FJV196588 FTQ194448:FTR196588 GDM194448:GDN196588 GNI194448:GNJ196588 GXE194448:GXF196588 HHA194448:HHB196588 HQW194448:HQX196588 IAS194448:IAT196588 IKO194448:IKP196588 IUK194448:IUL196588 JEG194448:JEH196588 JOC194448:JOD196588 JXY194448:JXZ196588 KHU194448:KHV196588 KRQ194448:KRR196588 LBM194448:LBN196588 LLI194448:LLJ196588 LVE194448:LVF196588 MFA194448:MFB196588 MOW194448:MOX196588 MYS194448:MYT196588 NIO194448:NIP196588 NSK194448:NSL196588 OCG194448:OCH196588 OMC194448:OMD196588 OVY194448:OVZ196588 PFU194448:PFV196588 PPQ194448:PPR196588 PZM194448:PZN196588 QJI194448:QJJ196588 QTE194448:QTF196588 RDA194448:RDB196588 RMW194448:RMX196588 RWS194448:RWT196588 SGO194448:SGP196588 SQK194448:SQL196588 TAG194448:TAH196588 TKC194448:TKD196588 TTY194448:TTZ196588 UDU194448:UDV196588 UNQ194448:UNR196588 UXM194448:UXN196588 VHI194448:VHJ196588 VRE194448:VRF196588 WBA194448:WBB196588 WKW194448:WKX196588 WUS194448:WUT196588 IG259984:IH262124 SC259984:SD262124 ABY259984:ABZ262124 ALU259984:ALV262124 AVQ259984:AVR262124 BFM259984:BFN262124 BPI259984:BPJ262124 BZE259984:BZF262124 CJA259984:CJB262124 CSW259984:CSX262124 DCS259984:DCT262124 DMO259984:DMP262124 DWK259984:DWL262124 EGG259984:EGH262124 EQC259984:EQD262124 EZY259984:EZZ262124 FJU259984:FJV262124 FTQ259984:FTR262124 GDM259984:GDN262124 GNI259984:GNJ262124 GXE259984:GXF262124 HHA259984:HHB262124 HQW259984:HQX262124 IAS259984:IAT262124 IKO259984:IKP262124 IUK259984:IUL262124 JEG259984:JEH262124 JOC259984:JOD262124 JXY259984:JXZ262124 KHU259984:KHV262124 KRQ259984:KRR262124 LBM259984:LBN262124 LLI259984:LLJ262124 LVE259984:LVF262124 MFA259984:MFB262124 MOW259984:MOX262124 MYS259984:MYT262124 NIO259984:NIP262124 NSK259984:NSL262124 OCG259984:OCH262124 OMC259984:OMD262124 OVY259984:OVZ262124 PFU259984:PFV262124 PPQ259984:PPR262124 PZM259984:PZN262124 QJI259984:QJJ262124 QTE259984:QTF262124 RDA259984:RDB262124 RMW259984:RMX262124 RWS259984:RWT262124 SGO259984:SGP262124 SQK259984:SQL262124 TAG259984:TAH262124 TKC259984:TKD262124 TTY259984:TTZ262124 UDU259984:UDV262124 UNQ259984:UNR262124 UXM259984:UXN262124 VHI259984:VHJ262124 VRE259984:VRF262124 WBA259984:WBB262124 WKW259984:WKX262124 WUS259984:WUT262124 IG325520:IH327660 SC325520:SD327660 ABY325520:ABZ327660 ALU325520:ALV327660 AVQ325520:AVR327660 BFM325520:BFN327660 BPI325520:BPJ327660 BZE325520:BZF327660 CJA325520:CJB327660 CSW325520:CSX327660 DCS325520:DCT327660 DMO325520:DMP327660 DWK325520:DWL327660 EGG325520:EGH327660 EQC325520:EQD327660 EZY325520:EZZ327660 FJU325520:FJV327660 FTQ325520:FTR327660 GDM325520:GDN327660 GNI325520:GNJ327660 GXE325520:GXF327660 HHA325520:HHB327660 HQW325520:HQX327660 IAS325520:IAT327660 IKO325520:IKP327660 IUK325520:IUL327660 JEG325520:JEH327660 JOC325520:JOD327660 JXY325520:JXZ327660 KHU325520:KHV327660 KRQ325520:KRR327660 LBM325520:LBN327660 LLI325520:LLJ327660 LVE325520:LVF327660 MFA325520:MFB327660 MOW325520:MOX327660 MYS325520:MYT327660 NIO325520:NIP327660 NSK325520:NSL327660 OCG325520:OCH327660 OMC325520:OMD327660 OVY325520:OVZ327660 PFU325520:PFV327660 PPQ325520:PPR327660 PZM325520:PZN327660 QJI325520:QJJ327660 QTE325520:QTF327660 RDA325520:RDB327660 RMW325520:RMX327660 RWS325520:RWT327660 SGO325520:SGP327660 SQK325520:SQL327660 TAG325520:TAH327660 TKC325520:TKD327660 TTY325520:TTZ327660 UDU325520:UDV327660 UNQ325520:UNR327660 UXM325520:UXN327660 VHI325520:VHJ327660 VRE325520:VRF327660 WBA325520:WBB327660 WKW325520:WKX327660 WUS325520:WUT327660 IG391056:IH393196 SC391056:SD393196 ABY391056:ABZ393196 ALU391056:ALV393196 AVQ391056:AVR393196 BFM391056:BFN393196 BPI391056:BPJ393196 BZE391056:BZF393196 CJA391056:CJB393196 CSW391056:CSX393196 DCS391056:DCT393196 DMO391056:DMP393196 DWK391056:DWL393196 EGG391056:EGH393196 EQC391056:EQD393196 EZY391056:EZZ393196 FJU391056:FJV393196 FTQ391056:FTR393196 GDM391056:GDN393196 GNI391056:GNJ393196 GXE391056:GXF393196 HHA391056:HHB393196 HQW391056:HQX393196 IAS391056:IAT393196 IKO391056:IKP393196 IUK391056:IUL393196 JEG391056:JEH393196 JOC391056:JOD393196 JXY391056:JXZ393196 KHU391056:KHV393196 KRQ391056:KRR393196 LBM391056:LBN393196 LLI391056:LLJ393196 LVE391056:LVF393196 MFA391056:MFB393196 MOW391056:MOX393196 MYS391056:MYT393196 NIO391056:NIP393196 NSK391056:NSL393196 OCG391056:OCH393196 OMC391056:OMD393196 OVY391056:OVZ393196 PFU391056:PFV393196 PPQ391056:PPR393196 PZM391056:PZN393196 QJI391056:QJJ393196 QTE391056:QTF393196 RDA391056:RDB393196 RMW391056:RMX393196 RWS391056:RWT393196 SGO391056:SGP393196 SQK391056:SQL393196 TAG391056:TAH393196 TKC391056:TKD393196 TTY391056:TTZ393196 UDU391056:UDV393196 UNQ391056:UNR393196 UXM391056:UXN393196 VHI391056:VHJ393196 VRE391056:VRF393196 WBA391056:WBB393196 WKW391056:WKX393196 WUS391056:WUT393196 IG456592:IH458732 SC456592:SD458732 ABY456592:ABZ458732 ALU456592:ALV458732 AVQ456592:AVR458732 BFM456592:BFN458732 BPI456592:BPJ458732 BZE456592:BZF458732 CJA456592:CJB458732 CSW456592:CSX458732 DCS456592:DCT458732 DMO456592:DMP458732 DWK456592:DWL458732 EGG456592:EGH458732 EQC456592:EQD458732 EZY456592:EZZ458732 FJU456592:FJV458732 FTQ456592:FTR458732 GDM456592:GDN458732 GNI456592:GNJ458732 GXE456592:GXF458732 HHA456592:HHB458732 HQW456592:HQX458732 IAS456592:IAT458732 IKO456592:IKP458732 IUK456592:IUL458732 JEG456592:JEH458732 JOC456592:JOD458732 JXY456592:JXZ458732 KHU456592:KHV458732 KRQ456592:KRR458732 LBM456592:LBN458732 LLI456592:LLJ458732 LVE456592:LVF458732 MFA456592:MFB458732 MOW456592:MOX458732 MYS456592:MYT458732 NIO456592:NIP458732 NSK456592:NSL458732 OCG456592:OCH458732 OMC456592:OMD458732 OVY456592:OVZ458732 PFU456592:PFV458732 PPQ456592:PPR458732 PZM456592:PZN458732 QJI456592:QJJ458732 QTE456592:QTF458732 RDA456592:RDB458732 RMW456592:RMX458732 RWS456592:RWT458732 SGO456592:SGP458732 SQK456592:SQL458732 TAG456592:TAH458732 TKC456592:TKD458732 TTY456592:TTZ458732 UDU456592:UDV458732 UNQ456592:UNR458732 UXM456592:UXN458732 VHI456592:VHJ458732 VRE456592:VRF458732 WBA456592:WBB458732 WKW456592:WKX458732 WUS456592:WUT458732 IG522128:IH524268 SC522128:SD524268 ABY522128:ABZ524268 ALU522128:ALV524268 AVQ522128:AVR524268 BFM522128:BFN524268 BPI522128:BPJ524268 BZE522128:BZF524268 CJA522128:CJB524268 CSW522128:CSX524268 DCS522128:DCT524268 DMO522128:DMP524268 DWK522128:DWL524268 EGG522128:EGH524268 EQC522128:EQD524268 EZY522128:EZZ524268 FJU522128:FJV524268 FTQ522128:FTR524268 GDM522128:GDN524268 GNI522128:GNJ524268 GXE522128:GXF524268 HHA522128:HHB524268 HQW522128:HQX524268 IAS522128:IAT524268 IKO522128:IKP524268 IUK522128:IUL524268 JEG522128:JEH524268 JOC522128:JOD524268 JXY522128:JXZ524268 KHU522128:KHV524268 KRQ522128:KRR524268 LBM522128:LBN524268 LLI522128:LLJ524268 LVE522128:LVF524268 MFA522128:MFB524268 MOW522128:MOX524268 MYS522128:MYT524268 NIO522128:NIP524268 NSK522128:NSL524268 OCG522128:OCH524268 OMC522128:OMD524268 OVY522128:OVZ524268 PFU522128:PFV524268 PPQ522128:PPR524268 PZM522128:PZN524268 QJI522128:QJJ524268 QTE522128:QTF524268 RDA522128:RDB524268 RMW522128:RMX524268 RWS522128:RWT524268 SGO522128:SGP524268 SQK522128:SQL524268 TAG522128:TAH524268 TKC522128:TKD524268 TTY522128:TTZ524268 UDU522128:UDV524268 UNQ522128:UNR524268 UXM522128:UXN524268 VHI522128:VHJ524268 VRE522128:VRF524268 WBA522128:WBB524268 WKW522128:WKX524268 WUS522128:WUT524268 IG587664:IH589804 SC587664:SD589804 ABY587664:ABZ589804 ALU587664:ALV589804 AVQ587664:AVR589804 BFM587664:BFN589804 BPI587664:BPJ589804 BZE587664:BZF589804 CJA587664:CJB589804 CSW587664:CSX589804 DCS587664:DCT589804 DMO587664:DMP589804 DWK587664:DWL589804 EGG587664:EGH589804 EQC587664:EQD589804 EZY587664:EZZ589804 FJU587664:FJV589804 FTQ587664:FTR589804 GDM587664:GDN589804 GNI587664:GNJ589804 GXE587664:GXF589804 HHA587664:HHB589804 HQW587664:HQX589804 IAS587664:IAT589804 IKO587664:IKP589804 IUK587664:IUL589804 JEG587664:JEH589804 JOC587664:JOD589804 JXY587664:JXZ589804 KHU587664:KHV589804 KRQ587664:KRR589804 LBM587664:LBN589804 LLI587664:LLJ589804 LVE587664:LVF589804 MFA587664:MFB589804 MOW587664:MOX589804 MYS587664:MYT589804 NIO587664:NIP589804 NSK587664:NSL589804 OCG587664:OCH589804 OMC587664:OMD589804 OVY587664:OVZ589804 PFU587664:PFV589804 PPQ587664:PPR589804 PZM587664:PZN589804 QJI587664:QJJ589804 QTE587664:QTF589804 RDA587664:RDB589804 RMW587664:RMX589804 RWS587664:RWT589804 SGO587664:SGP589804 SQK587664:SQL589804 TAG587664:TAH589804 TKC587664:TKD589804 TTY587664:TTZ589804 UDU587664:UDV589804 UNQ587664:UNR589804 UXM587664:UXN589804 VHI587664:VHJ589804 VRE587664:VRF589804 WBA587664:WBB589804 WKW587664:WKX589804 WUS587664:WUT589804 IG653200:IH655340 SC653200:SD655340 ABY653200:ABZ655340 ALU653200:ALV655340 AVQ653200:AVR655340 BFM653200:BFN655340 BPI653200:BPJ655340 BZE653200:BZF655340 CJA653200:CJB655340 CSW653200:CSX655340 DCS653200:DCT655340 DMO653200:DMP655340 DWK653200:DWL655340 EGG653200:EGH655340 EQC653200:EQD655340 EZY653200:EZZ655340 FJU653200:FJV655340 FTQ653200:FTR655340 GDM653200:GDN655340 GNI653200:GNJ655340 GXE653200:GXF655340 HHA653200:HHB655340 HQW653200:HQX655340 IAS653200:IAT655340 IKO653200:IKP655340 IUK653200:IUL655340 JEG653200:JEH655340 JOC653200:JOD655340 JXY653200:JXZ655340 KHU653200:KHV655340 KRQ653200:KRR655340 LBM653200:LBN655340 LLI653200:LLJ655340 LVE653200:LVF655340 MFA653200:MFB655340 MOW653200:MOX655340 MYS653200:MYT655340 NIO653200:NIP655340 NSK653200:NSL655340 OCG653200:OCH655340 OMC653200:OMD655340 OVY653200:OVZ655340 PFU653200:PFV655340 PPQ653200:PPR655340 PZM653200:PZN655340 QJI653200:QJJ655340 QTE653200:QTF655340 RDA653200:RDB655340 RMW653200:RMX655340 RWS653200:RWT655340 SGO653200:SGP655340 SQK653200:SQL655340 TAG653200:TAH655340 TKC653200:TKD655340 TTY653200:TTZ655340 UDU653200:UDV655340 UNQ653200:UNR655340 UXM653200:UXN655340 VHI653200:VHJ655340 VRE653200:VRF655340 WBA653200:WBB655340 WKW653200:WKX655340 WUS653200:WUT655340 IG718736:IH720876 SC718736:SD720876 ABY718736:ABZ720876 ALU718736:ALV720876 AVQ718736:AVR720876 BFM718736:BFN720876 BPI718736:BPJ720876 BZE718736:BZF720876 CJA718736:CJB720876 CSW718736:CSX720876 DCS718736:DCT720876 DMO718736:DMP720876 DWK718736:DWL720876 EGG718736:EGH720876 EQC718736:EQD720876 EZY718736:EZZ720876 FJU718736:FJV720876 FTQ718736:FTR720876 GDM718736:GDN720876 GNI718736:GNJ720876 GXE718736:GXF720876 HHA718736:HHB720876 HQW718736:HQX720876 IAS718736:IAT720876 IKO718736:IKP720876 IUK718736:IUL720876 JEG718736:JEH720876 JOC718736:JOD720876 JXY718736:JXZ720876 KHU718736:KHV720876 KRQ718736:KRR720876 LBM718736:LBN720876 LLI718736:LLJ720876 LVE718736:LVF720876 MFA718736:MFB720876 MOW718736:MOX720876 MYS718736:MYT720876 NIO718736:NIP720876 NSK718736:NSL720876 OCG718736:OCH720876 OMC718736:OMD720876 OVY718736:OVZ720876 PFU718736:PFV720876 PPQ718736:PPR720876 PZM718736:PZN720876 QJI718736:QJJ720876 QTE718736:QTF720876 RDA718736:RDB720876 RMW718736:RMX720876 RWS718736:RWT720876 SGO718736:SGP720876 SQK718736:SQL720876 TAG718736:TAH720876 TKC718736:TKD720876 TTY718736:TTZ720876 UDU718736:UDV720876 UNQ718736:UNR720876 UXM718736:UXN720876 VHI718736:VHJ720876 VRE718736:VRF720876 WBA718736:WBB720876 WKW718736:WKX720876 WUS718736:WUT720876 IG784272:IH786412 SC784272:SD786412 ABY784272:ABZ786412 ALU784272:ALV786412 AVQ784272:AVR786412 BFM784272:BFN786412 BPI784272:BPJ786412 BZE784272:BZF786412 CJA784272:CJB786412 CSW784272:CSX786412 DCS784272:DCT786412 DMO784272:DMP786412 DWK784272:DWL786412 EGG784272:EGH786412 EQC784272:EQD786412 EZY784272:EZZ786412 FJU784272:FJV786412 FTQ784272:FTR786412 GDM784272:GDN786412 GNI784272:GNJ786412 GXE784272:GXF786412 HHA784272:HHB786412 HQW784272:HQX786412 IAS784272:IAT786412 IKO784272:IKP786412 IUK784272:IUL786412 JEG784272:JEH786412 JOC784272:JOD786412 JXY784272:JXZ786412 KHU784272:KHV786412 KRQ784272:KRR786412 LBM784272:LBN786412 LLI784272:LLJ786412 LVE784272:LVF786412 MFA784272:MFB786412 MOW784272:MOX786412 MYS784272:MYT786412 NIO784272:NIP786412 NSK784272:NSL786412 OCG784272:OCH786412 OMC784272:OMD786412 OVY784272:OVZ786412 PFU784272:PFV786412 PPQ784272:PPR786412 PZM784272:PZN786412 QJI784272:QJJ786412 QTE784272:QTF786412 RDA784272:RDB786412 RMW784272:RMX786412 RWS784272:RWT786412 SGO784272:SGP786412 SQK784272:SQL786412 TAG784272:TAH786412 TKC784272:TKD786412 TTY784272:TTZ786412 UDU784272:UDV786412 UNQ784272:UNR786412 UXM784272:UXN786412 VHI784272:VHJ786412 VRE784272:VRF786412 WBA784272:WBB786412 WKW784272:WKX786412 WUS784272:WUT786412 IG849808:IH851948 SC849808:SD851948 ABY849808:ABZ851948 ALU849808:ALV851948 AVQ849808:AVR851948 BFM849808:BFN851948 BPI849808:BPJ851948 BZE849808:BZF851948 CJA849808:CJB851948 CSW849808:CSX851948 DCS849808:DCT851948 DMO849808:DMP851948 DWK849808:DWL851948 EGG849808:EGH851948 EQC849808:EQD851948 EZY849808:EZZ851948 FJU849808:FJV851948 FTQ849808:FTR851948 GDM849808:GDN851948 GNI849808:GNJ851948 GXE849808:GXF851948 HHA849808:HHB851948 HQW849808:HQX851948 IAS849808:IAT851948 IKO849808:IKP851948 IUK849808:IUL851948 JEG849808:JEH851948 JOC849808:JOD851948 JXY849808:JXZ851948 KHU849808:KHV851948 KRQ849808:KRR851948 LBM849808:LBN851948 LLI849808:LLJ851948 LVE849808:LVF851948 MFA849808:MFB851948 MOW849808:MOX851948 MYS849808:MYT851948 NIO849808:NIP851948 NSK849808:NSL851948 OCG849808:OCH851948 OMC849808:OMD851948 OVY849808:OVZ851948 PFU849808:PFV851948 PPQ849808:PPR851948 PZM849808:PZN851948 QJI849808:QJJ851948 QTE849808:QTF851948 RDA849808:RDB851948 RMW849808:RMX851948 RWS849808:RWT851948 SGO849808:SGP851948 SQK849808:SQL851948 TAG849808:TAH851948 TKC849808:TKD851948 TTY849808:TTZ851948 UDU849808:UDV851948 UNQ849808:UNR851948 UXM849808:UXN851948 VHI849808:VHJ851948 VRE849808:VRF851948 WBA849808:WBB851948 WKW849808:WKX851948 WUS849808:WUT851948 IG915344:IH917484 SC915344:SD917484 ABY915344:ABZ917484 ALU915344:ALV917484 AVQ915344:AVR917484 BFM915344:BFN917484 BPI915344:BPJ917484 BZE915344:BZF917484 CJA915344:CJB917484 CSW915344:CSX917484 DCS915344:DCT917484 DMO915344:DMP917484 DWK915344:DWL917484 EGG915344:EGH917484 EQC915344:EQD917484 EZY915344:EZZ917484 FJU915344:FJV917484 FTQ915344:FTR917484 GDM915344:GDN917484 GNI915344:GNJ917484 GXE915344:GXF917484 HHA915344:HHB917484 HQW915344:HQX917484 IAS915344:IAT917484 IKO915344:IKP917484 IUK915344:IUL917484 JEG915344:JEH917484 JOC915344:JOD917484 JXY915344:JXZ917484 KHU915344:KHV917484 KRQ915344:KRR917484 LBM915344:LBN917484 LLI915344:LLJ917484 LVE915344:LVF917484 MFA915344:MFB917484 MOW915344:MOX917484 MYS915344:MYT917484 NIO915344:NIP917484 NSK915344:NSL917484 OCG915344:OCH917484 OMC915344:OMD917484 OVY915344:OVZ917484 PFU915344:PFV917484 PPQ915344:PPR917484 PZM915344:PZN917484 QJI915344:QJJ917484 QTE915344:QTF917484 RDA915344:RDB917484 RMW915344:RMX917484 RWS915344:RWT917484 SGO915344:SGP917484 SQK915344:SQL917484 TAG915344:TAH917484 TKC915344:TKD917484 TTY915344:TTZ917484 UDU915344:UDV917484 UNQ915344:UNR917484 UXM915344:UXN917484 VHI915344:VHJ917484 VRE915344:VRF917484 WBA915344:WBB917484 WKW915344:WKX917484 WUS915344:WUT917484 WKW980880:WKX983020 IG980880:IH983020 SC980880:SD983020 ABY980880:ABZ983020 ALU980880:ALV983020 AVQ980880:AVR983020 BFM980880:BFN983020 BPI980880:BPJ983020 BZE980880:BZF983020 CJA980880:CJB983020 CSW980880:CSX983020 DCS980880:DCT983020 DMO980880:DMP983020 DWK980880:DWL983020 EGG980880:EGH983020 EQC980880:EQD983020 EZY980880:EZZ983020 FJU980880:FJV983020 FTQ980880:FTR983020 GDM980880:GDN983020 GNI980880:GNJ983020 GXE980880:GXF983020 HHA980880:HHB983020 HQW980880:HQX983020 IAS980880:IAT983020 IKO980880:IKP983020 IUK980880:IUL983020 JEG980880:JEH983020 JOC980880:JOD983020 JXY980880:JXZ983020 KHU980880:KHV983020 KRQ980880:KRR983020 LBM980880:LBN983020 LLI980880:LLJ983020 LVE980880:LVF983020 MFA980880:MFB983020 MOW980880:MOX983020 MYS980880:MYT983020 NIO980880:NIP983020 NSK980880:NSL983020 OCG980880:OCH983020 OMC980880:OMD983020 OVY980880:OVZ983020 PFU980880:PFV983020 PPQ980880:PPR983020 PZM980880:PZN983020 QJI980880:QJJ983020 QTE980880:QTF983020 RDA980880:RDB983020 RMW980880:RMX983020 RWS980880:RWT983020 SGO980880:SGP983020 SQK980880:SQL983020 TAG980880:TAH983020 TKC980880:TKD983020 TTY980880:TTZ983020 UDU980880:UDV983020 UNQ980880:UNR983020 UXM980880:UXN983020 VHI980880:VHJ983020 VRE980880:VRF983020 WBA980880:WBB983020 K63376:M65516 K128912:M131052 K194448:M196588 K259984:M262124 K325520:M327660 K391056:M393196 K456592:M458732 K522128:M524268 K587664:M589804 K653200:M655340 K718736:M720876 K784272:M786412 K849808:M851948 K915344:M917484 K980880:M983020" xr:uid="{4799F72D-0970-49F9-910A-1BC613867AAE}">
      <formula1>RESPONSABLE</formula1>
    </dataValidation>
    <dataValidation type="list" allowBlank="1" showInputMessage="1" showErrorMessage="1" sqref="WUW980880:WUW983020 O63376:O65516 IK63376:IK65516 SG63376:SG65516 ACC63376:ACC65516 ALY63376:ALY65516 AVU63376:AVU65516 BFQ63376:BFQ65516 BPM63376:BPM65516 BZI63376:BZI65516 CJE63376:CJE65516 CTA63376:CTA65516 DCW63376:DCW65516 DMS63376:DMS65516 DWO63376:DWO65516 EGK63376:EGK65516 EQG63376:EQG65516 FAC63376:FAC65516 FJY63376:FJY65516 FTU63376:FTU65516 GDQ63376:GDQ65516 GNM63376:GNM65516 GXI63376:GXI65516 HHE63376:HHE65516 HRA63376:HRA65516 IAW63376:IAW65516 IKS63376:IKS65516 IUO63376:IUO65516 JEK63376:JEK65516 JOG63376:JOG65516 JYC63376:JYC65516 KHY63376:KHY65516 KRU63376:KRU65516 LBQ63376:LBQ65516 LLM63376:LLM65516 LVI63376:LVI65516 MFE63376:MFE65516 MPA63376:MPA65516 MYW63376:MYW65516 NIS63376:NIS65516 NSO63376:NSO65516 OCK63376:OCK65516 OMG63376:OMG65516 OWC63376:OWC65516 PFY63376:PFY65516 PPU63376:PPU65516 PZQ63376:PZQ65516 QJM63376:QJM65516 QTI63376:QTI65516 RDE63376:RDE65516 RNA63376:RNA65516 RWW63376:RWW65516 SGS63376:SGS65516 SQO63376:SQO65516 TAK63376:TAK65516 TKG63376:TKG65516 TUC63376:TUC65516 UDY63376:UDY65516 UNU63376:UNU65516 UXQ63376:UXQ65516 VHM63376:VHM65516 VRI63376:VRI65516 WBE63376:WBE65516 WLA63376:WLA65516 WUW63376:WUW65516 O128912:O131052 IK128912:IK131052 SG128912:SG131052 ACC128912:ACC131052 ALY128912:ALY131052 AVU128912:AVU131052 BFQ128912:BFQ131052 BPM128912:BPM131052 BZI128912:BZI131052 CJE128912:CJE131052 CTA128912:CTA131052 DCW128912:DCW131052 DMS128912:DMS131052 DWO128912:DWO131052 EGK128912:EGK131052 EQG128912:EQG131052 FAC128912:FAC131052 FJY128912:FJY131052 FTU128912:FTU131052 GDQ128912:GDQ131052 GNM128912:GNM131052 GXI128912:GXI131052 HHE128912:HHE131052 HRA128912:HRA131052 IAW128912:IAW131052 IKS128912:IKS131052 IUO128912:IUO131052 JEK128912:JEK131052 JOG128912:JOG131052 JYC128912:JYC131052 KHY128912:KHY131052 KRU128912:KRU131052 LBQ128912:LBQ131052 LLM128912:LLM131052 LVI128912:LVI131052 MFE128912:MFE131052 MPA128912:MPA131052 MYW128912:MYW131052 NIS128912:NIS131052 NSO128912:NSO131052 OCK128912:OCK131052 OMG128912:OMG131052 OWC128912:OWC131052 PFY128912:PFY131052 PPU128912:PPU131052 PZQ128912:PZQ131052 QJM128912:QJM131052 QTI128912:QTI131052 RDE128912:RDE131052 RNA128912:RNA131052 RWW128912:RWW131052 SGS128912:SGS131052 SQO128912:SQO131052 TAK128912:TAK131052 TKG128912:TKG131052 TUC128912:TUC131052 UDY128912:UDY131052 UNU128912:UNU131052 UXQ128912:UXQ131052 VHM128912:VHM131052 VRI128912:VRI131052 WBE128912:WBE131052 WLA128912:WLA131052 WUW128912:WUW131052 O194448:O196588 IK194448:IK196588 SG194448:SG196588 ACC194448:ACC196588 ALY194448:ALY196588 AVU194448:AVU196588 BFQ194448:BFQ196588 BPM194448:BPM196588 BZI194448:BZI196588 CJE194448:CJE196588 CTA194448:CTA196588 DCW194448:DCW196588 DMS194448:DMS196588 DWO194448:DWO196588 EGK194448:EGK196588 EQG194448:EQG196588 FAC194448:FAC196588 FJY194448:FJY196588 FTU194448:FTU196588 GDQ194448:GDQ196588 GNM194448:GNM196588 GXI194448:GXI196588 HHE194448:HHE196588 HRA194448:HRA196588 IAW194448:IAW196588 IKS194448:IKS196588 IUO194448:IUO196588 JEK194448:JEK196588 JOG194448:JOG196588 JYC194448:JYC196588 KHY194448:KHY196588 KRU194448:KRU196588 LBQ194448:LBQ196588 LLM194448:LLM196588 LVI194448:LVI196588 MFE194448:MFE196588 MPA194448:MPA196588 MYW194448:MYW196588 NIS194448:NIS196588 NSO194448:NSO196588 OCK194448:OCK196588 OMG194448:OMG196588 OWC194448:OWC196588 PFY194448:PFY196588 PPU194448:PPU196588 PZQ194448:PZQ196588 QJM194448:QJM196588 QTI194448:QTI196588 RDE194448:RDE196588 RNA194448:RNA196588 RWW194448:RWW196588 SGS194448:SGS196588 SQO194448:SQO196588 TAK194448:TAK196588 TKG194448:TKG196588 TUC194448:TUC196588 UDY194448:UDY196588 UNU194448:UNU196588 UXQ194448:UXQ196588 VHM194448:VHM196588 VRI194448:VRI196588 WBE194448:WBE196588 WLA194448:WLA196588 WUW194448:WUW196588 O259984:O262124 IK259984:IK262124 SG259984:SG262124 ACC259984:ACC262124 ALY259984:ALY262124 AVU259984:AVU262124 BFQ259984:BFQ262124 BPM259984:BPM262124 BZI259984:BZI262124 CJE259984:CJE262124 CTA259984:CTA262124 DCW259984:DCW262124 DMS259984:DMS262124 DWO259984:DWO262124 EGK259984:EGK262124 EQG259984:EQG262124 FAC259984:FAC262124 FJY259984:FJY262124 FTU259984:FTU262124 GDQ259984:GDQ262124 GNM259984:GNM262124 GXI259984:GXI262124 HHE259984:HHE262124 HRA259984:HRA262124 IAW259984:IAW262124 IKS259984:IKS262124 IUO259984:IUO262124 JEK259984:JEK262124 JOG259984:JOG262124 JYC259984:JYC262124 KHY259984:KHY262124 KRU259984:KRU262124 LBQ259984:LBQ262124 LLM259984:LLM262124 LVI259984:LVI262124 MFE259984:MFE262124 MPA259984:MPA262124 MYW259984:MYW262124 NIS259984:NIS262124 NSO259984:NSO262124 OCK259984:OCK262124 OMG259984:OMG262124 OWC259984:OWC262124 PFY259984:PFY262124 PPU259984:PPU262124 PZQ259984:PZQ262124 QJM259984:QJM262124 QTI259984:QTI262124 RDE259984:RDE262124 RNA259984:RNA262124 RWW259984:RWW262124 SGS259984:SGS262124 SQO259984:SQO262124 TAK259984:TAK262124 TKG259984:TKG262124 TUC259984:TUC262124 UDY259984:UDY262124 UNU259984:UNU262124 UXQ259984:UXQ262124 VHM259984:VHM262124 VRI259984:VRI262124 WBE259984:WBE262124 WLA259984:WLA262124 WUW259984:WUW262124 O325520:O327660 IK325520:IK327660 SG325520:SG327660 ACC325520:ACC327660 ALY325520:ALY327660 AVU325520:AVU327660 BFQ325520:BFQ327660 BPM325520:BPM327660 BZI325520:BZI327660 CJE325520:CJE327660 CTA325520:CTA327660 DCW325520:DCW327660 DMS325520:DMS327660 DWO325520:DWO327660 EGK325520:EGK327660 EQG325520:EQG327660 FAC325520:FAC327660 FJY325520:FJY327660 FTU325520:FTU327660 GDQ325520:GDQ327660 GNM325520:GNM327660 GXI325520:GXI327660 HHE325520:HHE327660 HRA325520:HRA327660 IAW325520:IAW327660 IKS325520:IKS327660 IUO325520:IUO327660 JEK325520:JEK327660 JOG325520:JOG327660 JYC325520:JYC327660 KHY325520:KHY327660 KRU325520:KRU327660 LBQ325520:LBQ327660 LLM325520:LLM327660 LVI325520:LVI327660 MFE325520:MFE327660 MPA325520:MPA327660 MYW325520:MYW327660 NIS325520:NIS327660 NSO325520:NSO327660 OCK325520:OCK327660 OMG325520:OMG327660 OWC325520:OWC327660 PFY325520:PFY327660 PPU325520:PPU327660 PZQ325520:PZQ327660 QJM325520:QJM327660 QTI325520:QTI327660 RDE325520:RDE327660 RNA325520:RNA327660 RWW325520:RWW327660 SGS325520:SGS327660 SQO325520:SQO327660 TAK325520:TAK327660 TKG325520:TKG327660 TUC325520:TUC327660 UDY325520:UDY327660 UNU325520:UNU327660 UXQ325520:UXQ327660 VHM325520:VHM327660 VRI325520:VRI327660 WBE325520:WBE327660 WLA325520:WLA327660 WUW325520:WUW327660 O391056:O393196 IK391056:IK393196 SG391056:SG393196 ACC391056:ACC393196 ALY391056:ALY393196 AVU391056:AVU393196 BFQ391056:BFQ393196 BPM391056:BPM393196 BZI391056:BZI393196 CJE391056:CJE393196 CTA391056:CTA393196 DCW391056:DCW393196 DMS391056:DMS393196 DWO391056:DWO393196 EGK391056:EGK393196 EQG391056:EQG393196 FAC391056:FAC393196 FJY391056:FJY393196 FTU391056:FTU393196 GDQ391056:GDQ393196 GNM391056:GNM393196 GXI391056:GXI393196 HHE391056:HHE393196 HRA391056:HRA393196 IAW391056:IAW393196 IKS391056:IKS393196 IUO391056:IUO393196 JEK391056:JEK393196 JOG391056:JOG393196 JYC391056:JYC393196 KHY391056:KHY393196 KRU391056:KRU393196 LBQ391056:LBQ393196 LLM391056:LLM393196 LVI391056:LVI393196 MFE391056:MFE393196 MPA391056:MPA393196 MYW391056:MYW393196 NIS391056:NIS393196 NSO391056:NSO393196 OCK391056:OCK393196 OMG391056:OMG393196 OWC391056:OWC393196 PFY391056:PFY393196 PPU391056:PPU393196 PZQ391056:PZQ393196 QJM391056:QJM393196 QTI391056:QTI393196 RDE391056:RDE393196 RNA391056:RNA393196 RWW391056:RWW393196 SGS391056:SGS393196 SQO391056:SQO393196 TAK391056:TAK393196 TKG391056:TKG393196 TUC391056:TUC393196 UDY391056:UDY393196 UNU391056:UNU393196 UXQ391056:UXQ393196 VHM391056:VHM393196 VRI391056:VRI393196 WBE391056:WBE393196 WLA391056:WLA393196 WUW391056:WUW393196 O456592:O458732 IK456592:IK458732 SG456592:SG458732 ACC456592:ACC458732 ALY456592:ALY458732 AVU456592:AVU458732 BFQ456592:BFQ458732 BPM456592:BPM458732 BZI456592:BZI458732 CJE456592:CJE458732 CTA456592:CTA458732 DCW456592:DCW458732 DMS456592:DMS458732 DWO456592:DWO458732 EGK456592:EGK458732 EQG456592:EQG458732 FAC456592:FAC458732 FJY456592:FJY458732 FTU456592:FTU458732 GDQ456592:GDQ458732 GNM456592:GNM458732 GXI456592:GXI458732 HHE456592:HHE458732 HRA456592:HRA458732 IAW456592:IAW458732 IKS456592:IKS458732 IUO456592:IUO458732 JEK456592:JEK458732 JOG456592:JOG458732 JYC456592:JYC458732 KHY456592:KHY458732 KRU456592:KRU458732 LBQ456592:LBQ458732 LLM456592:LLM458732 LVI456592:LVI458732 MFE456592:MFE458732 MPA456592:MPA458732 MYW456592:MYW458732 NIS456592:NIS458732 NSO456592:NSO458732 OCK456592:OCK458732 OMG456592:OMG458732 OWC456592:OWC458732 PFY456592:PFY458732 PPU456592:PPU458732 PZQ456592:PZQ458732 QJM456592:QJM458732 QTI456592:QTI458732 RDE456592:RDE458732 RNA456592:RNA458732 RWW456592:RWW458732 SGS456592:SGS458732 SQO456592:SQO458732 TAK456592:TAK458732 TKG456592:TKG458732 TUC456592:TUC458732 UDY456592:UDY458732 UNU456592:UNU458732 UXQ456592:UXQ458732 VHM456592:VHM458732 VRI456592:VRI458732 WBE456592:WBE458732 WLA456592:WLA458732 WUW456592:WUW458732 O522128:O524268 IK522128:IK524268 SG522128:SG524268 ACC522128:ACC524268 ALY522128:ALY524268 AVU522128:AVU524268 BFQ522128:BFQ524268 BPM522128:BPM524268 BZI522128:BZI524268 CJE522128:CJE524268 CTA522128:CTA524268 DCW522128:DCW524268 DMS522128:DMS524268 DWO522128:DWO524268 EGK522128:EGK524268 EQG522128:EQG524268 FAC522128:FAC524268 FJY522128:FJY524268 FTU522128:FTU524268 GDQ522128:GDQ524268 GNM522128:GNM524268 GXI522128:GXI524268 HHE522128:HHE524268 HRA522128:HRA524268 IAW522128:IAW524268 IKS522128:IKS524268 IUO522128:IUO524268 JEK522128:JEK524268 JOG522128:JOG524268 JYC522128:JYC524268 KHY522128:KHY524268 KRU522128:KRU524268 LBQ522128:LBQ524268 LLM522128:LLM524268 LVI522128:LVI524268 MFE522128:MFE524268 MPA522128:MPA524268 MYW522128:MYW524268 NIS522128:NIS524268 NSO522128:NSO524268 OCK522128:OCK524268 OMG522128:OMG524268 OWC522128:OWC524268 PFY522128:PFY524268 PPU522128:PPU524268 PZQ522128:PZQ524268 QJM522128:QJM524268 QTI522128:QTI524268 RDE522128:RDE524268 RNA522128:RNA524268 RWW522128:RWW524268 SGS522128:SGS524268 SQO522128:SQO524268 TAK522128:TAK524268 TKG522128:TKG524268 TUC522128:TUC524268 UDY522128:UDY524268 UNU522128:UNU524268 UXQ522128:UXQ524268 VHM522128:VHM524268 VRI522128:VRI524268 WBE522128:WBE524268 WLA522128:WLA524268 WUW522128:WUW524268 O587664:O589804 IK587664:IK589804 SG587664:SG589804 ACC587664:ACC589804 ALY587664:ALY589804 AVU587664:AVU589804 BFQ587664:BFQ589804 BPM587664:BPM589804 BZI587664:BZI589804 CJE587664:CJE589804 CTA587664:CTA589804 DCW587664:DCW589804 DMS587664:DMS589804 DWO587664:DWO589804 EGK587664:EGK589804 EQG587664:EQG589804 FAC587664:FAC589804 FJY587664:FJY589804 FTU587664:FTU589804 GDQ587664:GDQ589804 GNM587664:GNM589804 GXI587664:GXI589804 HHE587664:HHE589804 HRA587664:HRA589804 IAW587664:IAW589804 IKS587664:IKS589804 IUO587664:IUO589804 JEK587664:JEK589804 JOG587664:JOG589804 JYC587664:JYC589804 KHY587664:KHY589804 KRU587664:KRU589804 LBQ587664:LBQ589804 LLM587664:LLM589804 LVI587664:LVI589804 MFE587664:MFE589804 MPA587664:MPA589804 MYW587664:MYW589804 NIS587664:NIS589804 NSO587664:NSO589804 OCK587664:OCK589804 OMG587664:OMG589804 OWC587664:OWC589804 PFY587664:PFY589804 PPU587664:PPU589804 PZQ587664:PZQ589804 QJM587664:QJM589804 QTI587664:QTI589804 RDE587664:RDE589804 RNA587664:RNA589804 RWW587664:RWW589804 SGS587664:SGS589804 SQO587664:SQO589804 TAK587664:TAK589804 TKG587664:TKG589804 TUC587664:TUC589804 UDY587664:UDY589804 UNU587664:UNU589804 UXQ587664:UXQ589804 VHM587664:VHM589804 VRI587664:VRI589804 WBE587664:WBE589804 WLA587664:WLA589804 WUW587664:WUW589804 O653200:O655340 IK653200:IK655340 SG653200:SG655340 ACC653200:ACC655340 ALY653200:ALY655340 AVU653200:AVU655340 BFQ653200:BFQ655340 BPM653200:BPM655340 BZI653200:BZI655340 CJE653200:CJE655340 CTA653200:CTA655340 DCW653200:DCW655340 DMS653200:DMS655340 DWO653200:DWO655340 EGK653200:EGK655340 EQG653200:EQG655340 FAC653200:FAC655340 FJY653200:FJY655340 FTU653200:FTU655340 GDQ653200:GDQ655340 GNM653200:GNM655340 GXI653200:GXI655340 HHE653200:HHE655340 HRA653200:HRA655340 IAW653200:IAW655340 IKS653200:IKS655340 IUO653200:IUO655340 JEK653200:JEK655340 JOG653200:JOG655340 JYC653200:JYC655340 KHY653200:KHY655340 KRU653200:KRU655340 LBQ653200:LBQ655340 LLM653200:LLM655340 LVI653200:LVI655340 MFE653200:MFE655340 MPA653200:MPA655340 MYW653200:MYW655340 NIS653200:NIS655340 NSO653200:NSO655340 OCK653200:OCK655340 OMG653200:OMG655340 OWC653200:OWC655340 PFY653200:PFY655340 PPU653200:PPU655340 PZQ653200:PZQ655340 QJM653200:QJM655340 QTI653200:QTI655340 RDE653200:RDE655340 RNA653200:RNA655340 RWW653200:RWW655340 SGS653200:SGS655340 SQO653200:SQO655340 TAK653200:TAK655340 TKG653200:TKG655340 TUC653200:TUC655340 UDY653200:UDY655340 UNU653200:UNU655340 UXQ653200:UXQ655340 VHM653200:VHM655340 VRI653200:VRI655340 WBE653200:WBE655340 WLA653200:WLA655340 WUW653200:WUW655340 O718736:O720876 IK718736:IK720876 SG718736:SG720876 ACC718736:ACC720876 ALY718736:ALY720876 AVU718736:AVU720876 BFQ718736:BFQ720876 BPM718736:BPM720876 BZI718736:BZI720876 CJE718736:CJE720876 CTA718736:CTA720876 DCW718736:DCW720876 DMS718736:DMS720876 DWO718736:DWO720876 EGK718736:EGK720876 EQG718736:EQG720876 FAC718736:FAC720876 FJY718736:FJY720876 FTU718736:FTU720876 GDQ718736:GDQ720876 GNM718736:GNM720876 GXI718736:GXI720876 HHE718736:HHE720876 HRA718736:HRA720876 IAW718736:IAW720876 IKS718736:IKS720876 IUO718736:IUO720876 JEK718736:JEK720876 JOG718736:JOG720876 JYC718736:JYC720876 KHY718736:KHY720876 KRU718736:KRU720876 LBQ718736:LBQ720876 LLM718736:LLM720876 LVI718736:LVI720876 MFE718736:MFE720876 MPA718736:MPA720876 MYW718736:MYW720876 NIS718736:NIS720876 NSO718736:NSO720876 OCK718736:OCK720876 OMG718736:OMG720876 OWC718736:OWC720876 PFY718736:PFY720876 PPU718736:PPU720876 PZQ718736:PZQ720876 QJM718736:QJM720876 QTI718736:QTI720876 RDE718736:RDE720876 RNA718736:RNA720876 RWW718736:RWW720876 SGS718736:SGS720876 SQO718736:SQO720876 TAK718736:TAK720876 TKG718736:TKG720876 TUC718736:TUC720876 UDY718736:UDY720876 UNU718736:UNU720876 UXQ718736:UXQ720876 VHM718736:VHM720876 VRI718736:VRI720876 WBE718736:WBE720876 WLA718736:WLA720876 WUW718736:WUW720876 O784272:O786412 IK784272:IK786412 SG784272:SG786412 ACC784272:ACC786412 ALY784272:ALY786412 AVU784272:AVU786412 BFQ784272:BFQ786412 BPM784272:BPM786412 BZI784272:BZI786412 CJE784272:CJE786412 CTA784272:CTA786412 DCW784272:DCW786412 DMS784272:DMS786412 DWO784272:DWO786412 EGK784272:EGK786412 EQG784272:EQG786412 FAC784272:FAC786412 FJY784272:FJY786412 FTU784272:FTU786412 GDQ784272:GDQ786412 GNM784272:GNM786412 GXI784272:GXI786412 HHE784272:HHE786412 HRA784272:HRA786412 IAW784272:IAW786412 IKS784272:IKS786412 IUO784272:IUO786412 JEK784272:JEK786412 JOG784272:JOG786412 JYC784272:JYC786412 KHY784272:KHY786412 KRU784272:KRU786412 LBQ784272:LBQ786412 LLM784272:LLM786412 LVI784272:LVI786412 MFE784272:MFE786412 MPA784272:MPA786412 MYW784272:MYW786412 NIS784272:NIS786412 NSO784272:NSO786412 OCK784272:OCK786412 OMG784272:OMG786412 OWC784272:OWC786412 PFY784272:PFY786412 PPU784272:PPU786412 PZQ784272:PZQ786412 QJM784272:QJM786412 QTI784272:QTI786412 RDE784272:RDE786412 RNA784272:RNA786412 RWW784272:RWW786412 SGS784272:SGS786412 SQO784272:SQO786412 TAK784272:TAK786412 TKG784272:TKG786412 TUC784272:TUC786412 UDY784272:UDY786412 UNU784272:UNU786412 UXQ784272:UXQ786412 VHM784272:VHM786412 VRI784272:VRI786412 WBE784272:WBE786412 WLA784272:WLA786412 WUW784272:WUW786412 O849808:O851948 IK849808:IK851948 SG849808:SG851948 ACC849808:ACC851948 ALY849808:ALY851948 AVU849808:AVU851948 BFQ849808:BFQ851948 BPM849808:BPM851948 BZI849808:BZI851948 CJE849808:CJE851948 CTA849808:CTA851948 DCW849808:DCW851948 DMS849808:DMS851948 DWO849808:DWO851948 EGK849808:EGK851948 EQG849808:EQG851948 FAC849808:FAC851948 FJY849808:FJY851948 FTU849808:FTU851948 GDQ849808:GDQ851948 GNM849808:GNM851948 GXI849808:GXI851948 HHE849808:HHE851948 HRA849808:HRA851948 IAW849808:IAW851948 IKS849808:IKS851948 IUO849808:IUO851948 JEK849808:JEK851948 JOG849808:JOG851948 JYC849808:JYC851948 KHY849808:KHY851948 KRU849808:KRU851948 LBQ849808:LBQ851948 LLM849808:LLM851948 LVI849808:LVI851948 MFE849808:MFE851948 MPA849808:MPA851948 MYW849808:MYW851948 NIS849808:NIS851948 NSO849808:NSO851948 OCK849808:OCK851948 OMG849808:OMG851948 OWC849808:OWC851948 PFY849808:PFY851948 PPU849808:PPU851948 PZQ849808:PZQ851948 QJM849808:QJM851948 QTI849808:QTI851948 RDE849808:RDE851948 RNA849808:RNA851948 RWW849808:RWW851948 SGS849808:SGS851948 SQO849808:SQO851948 TAK849808:TAK851948 TKG849808:TKG851948 TUC849808:TUC851948 UDY849808:UDY851948 UNU849808:UNU851948 UXQ849808:UXQ851948 VHM849808:VHM851948 VRI849808:VRI851948 WBE849808:WBE851948 WLA849808:WLA851948 WUW849808:WUW851948 O915344:O917484 IK915344:IK917484 SG915344:SG917484 ACC915344:ACC917484 ALY915344:ALY917484 AVU915344:AVU917484 BFQ915344:BFQ917484 BPM915344:BPM917484 BZI915344:BZI917484 CJE915344:CJE917484 CTA915344:CTA917484 DCW915344:DCW917484 DMS915344:DMS917484 DWO915344:DWO917484 EGK915344:EGK917484 EQG915344:EQG917484 FAC915344:FAC917484 FJY915344:FJY917484 FTU915344:FTU917484 GDQ915344:GDQ917484 GNM915344:GNM917484 GXI915344:GXI917484 HHE915344:HHE917484 HRA915344:HRA917484 IAW915344:IAW917484 IKS915344:IKS917484 IUO915344:IUO917484 JEK915344:JEK917484 JOG915344:JOG917484 JYC915344:JYC917484 KHY915344:KHY917484 KRU915344:KRU917484 LBQ915344:LBQ917484 LLM915344:LLM917484 LVI915344:LVI917484 MFE915344:MFE917484 MPA915344:MPA917484 MYW915344:MYW917484 NIS915344:NIS917484 NSO915344:NSO917484 OCK915344:OCK917484 OMG915344:OMG917484 OWC915344:OWC917484 PFY915344:PFY917484 PPU915344:PPU917484 PZQ915344:PZQ917484 QJM915344:QJM917484 QTI915344:QTI917484 RDE915344:RDE917484 RNA915344:RNA917484 RWW915344:RWW917484 SGS915344:SGS917484 SQO915344:SQO917484 TAK915344:TAK917484 TKG915344:TKG917484 TUC915344:TUC917484 UDY915344:UDY917484 UNU915344:UNU917484 UXQ915344:UXQ917484 VHM915344:VHM917484 VRI915344:VRI917484 WBE915344:WBE917484 WLA915344:WLA917484 WUW915344:WUW917484 O980880:O983020 IK980880:IK983020 SG980880:SG983020 ACC980880:ACC983020 ALY980880:ALY983020 AVU980880:AVU983020 BFQ980880:BFQ983020 BPM980880:BPM983020 BZI980880:BZI983020 CJE980880:CJE983020 CTA980880:CTA983020 DCW980880:DCW983020 DMS980880:DMS983020 DWO980880:DWO983020 EGK980880:EGK983020 EQG980880:EQG983020 FAC980880:FAC983020 FJY980880:FJY983020 FTU980880:FTU983020 GDQ980880:GDQ983020 GNM980880:GNM983020 GXI980880:GXI983020 HHE980880:HHE983020 HRA980880:HRA983020 IAW980880:IAW983020 IKS980880:IKS983020 IUO980880:IUO983020 JEK980880:JEK983020 JOG980880:JOG983020 JYC980880:JYC983020 KHY980880:KHY983020 KRU980880:KRU983020 LBQ980880:LBQ983020 LLM980880:LLM983020 LVI980880:LVI983020 MFE980880:MFE983020 MPA980880:MPA983020 MYW980880:MYW983020 NIS980880:NIS983020 NSO980880:NSO983020 OCK980880:OCK983020 OMG980880:OMG983020 OWC980880:OWC983020 PFY980880:PFY983020 PPU980880:PPU983020 PZQ980880:PZQ983020 QJM980880:QJM983020 QTI980880:QTI983020 RDE980880:RDE983020 RNA980880:RNA983020 RWW980880:RWW983020 SGS980880:SGS983020 SQO980880:SQO983020 TAK980880:TAK983020 TKG980880:TKG983020 TUC980880:TUC983020 UDY980880:UDY983020 UNU980880:UNU983020 UXQ980880:UXQ983020 VHM980880:VHM983020 VRI980880:VRI983020 WBE980880:WBE983020 WLA980880:WLA983020" xr:uid="{C4A968FC-E072-4199-AA99-6C31D7F8DFE0}">
      <formula1>status</formula1>
    </dataValidation>
    <dataValidation type="list" allowBlank="1" showInputMessage="1" showErrorMessage="1" sqref="WUU980880:WUU983020 II63376:II65516 SE63376:SE65516 ACA63376:ACA65516 ALW63376:ALW65516 AVS63376:AVS65516 BFO63376:BFO65516 BPK63376:BPK65516 BZG63376:BZG65516 CJC63376:CJC65516 CSY63376:CSY65516 DCU63376:DCU65516 DMQ63376:DMQ65516 DWM63376:DWM65516 EGI63376:EGI65516 EQE63376:EQE65516 FAA63376:FAA65516 FJW63376:FJW65516 FTS63376:FTS65516 GDO63376:GDO65516 GNK63376:GNK65516 GXG63376:GXG65516 HHC63376:HHC65516 HQY63376:HQY65516 IAU63376:IAU65516 IKQ63376:IKQ65516 IUM63376:IUM65516 JEI63376:JEI65516 JOE63376:JOE65516 JYA63376:JYA65516 KHW63376:KHW65516 KRS63376:KRS65516 LBO63376:LBO65516 LLK63376:LLK65516 LVG63376:LVG65516 MFC63376:MFC65516 MOY63376:MOY65516 MYU63376:MYU65516 NIQ63376:NIQ65516 NSM63376:NSM65516 OCI63376:OCI65516 OME63376:OME65516 OWA63376:OWA65516 PFW63376:PFW65516 PPS63376:PPS65516 PZO63376:PZO65516 QJK63376:QJK65516 QTG63376:QTG65516 RDC63376:RDC65516 RMY63376:RMY65516 RWU63376:RWU65516 SGQ63376:SGQ65516 SQM63376:SQM65516 TAI63376:TAI65516 TKE63376:TKE65516 TUA63376:TUA65516 UDW63376:UDW65516 UNS63376:UNS65516 UXO63376:UXO65516 VHK63376:VHK65516 VRG63376:VRG65516 WBC63376:WBC65516 WKY63376:WKY65516 WUU63376:WUU65516 II128912:II131052 SE128912:SE131052 ACA128912:ACA131052 ALW128912:ALW131052 AVS128912:AVS131052 BFO128912:BFO131052 BPK128912:BPK131052 BZG128912:BZG131052 CJC128912:CJC131052 CSY128912:CSY131052 DCU128912:DCU131052 DMQ128912:DMQ131052 DWM128912:DWM131052 EGI128912:EGI131052 EQE128912:EQE131052 FAA128912:FAA131052 FJW128912:FJW131052 FTS128912:FTS131052 GDO128912:GDO131052 GNK128912:GNK131052 GXG128912:GXG131052 HHC128912:HHC131052 HQY128912:HQY131052 IAU128912:IAU131052 IKQ128912:IKQ131052 IUM128912:IUM131052 JEI128912:JEI131052 JOE128912:JOE131052 JYA128912:JYA131052 KHW128912:KHW131052 KRS128912:KRS131052 LBO128912:LBO131052 LLK128912:LLK131052 LVG128912:LVG131052 MFC128912:MFC131052 MOY128912:MOY131052 MYU128912:MYU131052 NIQ128912:NIQ131052 NSM128912:NSM131052 OCI128912:OCI131052 OME128912:OME131052 OWA128912:OWA131052 PFW128912:PFW131052 PPS128912:PPS131052 PZO128912:PZO131052 QJK128912:QJK131052 QTG128912:QTG131052 RDC128912:RDC131052 RMY128912:RMY131052 RWU128912:RWU131052 SGQ128912:SGQ131052 SQM128912:SQM131052 TAI128912:TAI131052 TKE128912:TKE131052 TUA128912:TUA131052 UDW128912:UDW131052 UNS128912:UNS131052 UXO128912:UXO131052 VHK128912:VHK131052 VRG128912:VRG131052 WBC128912:WBC131052 WKY128912:WKY131052 WUU128912:WUU131052 II194448:II196588 SE194448:SE196588 ACA194448:ACA196588 ALW194448:ALW196588 AVS194448:AVS196588 BFO194448:BFO196588 BPK194448:BPK196588 BZG194448:BZG196588 CJC194448:CJC196588 CSY194448:CSY196588 DCU194448:DCU196588 DMQ194448:DMQ196588 DWM194448:DWM196588 EGI194448:EGI196588 EQE194448:EQE196588 FAA194448:FAA196588 FJW194448:FJW196588 FTS194448:FTS196588 GDO194448:GDO196588 GNK194448:GNK196588 GXG194448:GXG196588 HHC194448:HHC196588 HQY194448:HQY196588 IAU194448:IAU196588 IKQ194448:IKQ196588 IUM194448:IUM196588 JEI194448:JEI196588 JOE194448:JOE196588 JYA194448:JYA196588 KHW194448:KHW196588 KRS194448:KRS196588 LBO194448:LBO196588 LLK194448:LLK196588 LVG194448:LVG196588 MFC194448:MFC196588 MOY194448:MOY196588 MYU194448:MYU196588 NIQ194448:NIQ196588 NSM194448:NSM196588 OCI194448:OCI196588 OME194448:OME196588 OWA194448:OWA196588 PFW194448:PFW196588 PPS194448:PPS196588 PZO194448:PZO196588 QJK194448:QJK196588 QTG194448:QTG196588 RDC194448:RDC196588 RMY194448:RMY196588 RWU194448:RWU196588 SGQ194448:SGQ196588 SQM194448:SQM196588 TAI194448:TAI196588 TKE194448:TKE196588 TUA194448:TUA196588 UDW194448:UDW196588 UNS194448:UNS196588 UXO194448:UXO196588 VHK194448:VHK196588 VRG194448:VRG196588 WBC194448:WBC196588 WKY194448:WKY196588 WUU194448:WUU196588 II259984:II262124 SE259984:SE262124 ACA259984:ACA262124 ALW259984:ALW262124 AVS259984:AVS262124 BFO259984:BFO262124 BPK259984:BPK262124 BZG259984:BZG262124 CJC259984:CJC262124 CSY259984:CSY262124 DCU259984:DCU262124 DMQ259984:DMQ262124 DWM259984:DWM262124 EGI259984:EGI262124 EQE259984:EQE262124 FAA259984:FAA262124 FJW259984:FJW262124 FTS259984:FTS262124 GDO259984:GDO262124 GNK259984:GNK262124 GXG259984:GXG262124 HHC259984:HHC262124 HQY259984:HQY262124 IAU259984:IAU262124 IKQ259984:IKQ262124 IUM259984:IUM262124 JEI259984:JEI262124 JOE259984:JOE262124 JYA259984:JYA262124 KHW259984:KHW262124 KRS259984:KRS262124 LBO259984:LBO262124 LLK259984:LLK262124 LVG259984:LVG262124 MFC259984:MFC262124 MOY259984:MOY262124 MYU259984:MYU262124 NIQ259984:NIQ262124 NSM259984:NSM262124 OCI259984:OCI262124 OME259984:OME262124 OWA259984:OWA262124 PFW259984:PFW262124 PPS259984:PPS262124 PZO259984:PZO262124 QJK259984:QJK262124 QTG259984:QTG262124 RDC259984:RDC262124 RMY259984:RMY262124 RWU259984:RWU262124 SGQ259984:SGQ262124 SQM259984:SQM262124 TAI259984:TAI262124 TKE259984:TKE262124 TUA259984:TUA262124 UDW259984:UDW262124 UNS259984:UNS262124 UXO259984:UXO262124 VHK259984:VHK262124 VRG259984:VRG262124 WBC259984:WBC262124 WKY259984:WKY262124 WUU259984:WUU262124 II325520:II327660 SE325520:SE327660 ACA325520:ACA327660 ALW325520:ALW327660 AVS325520:AVS327660 BFO325520:BFO327660 BPK325520:BPK327660 BZG325520:BZG327660 CJC325520:CJC327660 CSY325520:CSY327660 DCU325520:DCU327660 DMQ325520:DMQ327660 DWM325520:DWM327660 EGI325520:EGI327660 EQE325520:EQE327660 FAA325520:FAA327660 FJW325520:FJW327660 FTS325520:FTS327660 GDO325520:GDO327660 GNK325520:GNK327660 GXG325520:GXG327660 HHC325520:HHC327660 HQY325520:HQY327660 IAU325520:IAU327660 IKQ325520:IKQ327660 IUM325520:IUM327660 JEI325520:JEI327660 JOE325520:JOE327660 JYA325520:JYA327660 KHW325520:KHW327660 KRS325520:KRS327660 LBO325520:LBO327660 LLK325520:LLK327660 LVG325520:LVG327660 MFC325520:MFC327660 MOY325520:MOY327660 MYU325520:MYU327660 NIQ325520:NIQ327660 NSM325520:NSM327660 OCI325520:OCI327660 OME325520:OME327660 OWA325520:OWA327660 PFW325520:PFW327660 PPS325520:PPS327660 PZO325520:PZO327660 QJK325520:QJK327660 QTG325520:QTG327660 RDC325520:RDC327660 RMY325520:RMY327660 RWU325520:RWU327660 SGQ325520:SGQ327660 SQM325520:SQM327660 TAI325520:TAI327660 TKE325520:TKE327660 TUA325520:TUA327660 UDW325520:UDW327660 UNS325520:UNS327660 UXO325520:UXO327660 VHK325520:VHK327660 VRG325520:VRG327660 WBC325520:WBC327660 WKY325520:WKY327660 WUU325520:WUU327660 II391056:II393196 SE391056:SE393196 ACA391056:ACA393196 ALW391056:ALW393196 AVS391056:AVS393196 BFO391056:BFO393196 BPK391056:BPK393196 BZG391056:BZG393196 CJC391056:CJC393196 CSY391056:CSY393196 DCU391056:DCU393196 DMQ391056:DMQ393196 DWM391056:DWM393196 EGI391056:EGI393196 EQE391056:EQE393196 FAA391056:FAA393196 FJW391056:FJW393196 FTS391056:FTS393196 GDO391056:GDO393196 GNK391056:GNK393196 GXG391056:GXG393196 HHC391056:HHC393196 HQY391056:HQY393196 IAU391056:IAU393196 IKQ391056:IKQ393196 IUM391056:IUM393196 JEI391056:JEI393196 JOE391056:JOE393196 JYA391056:JYA393196 KHW391056:KHW393196 KRS391056:KRS393196 LBO391056:LBO393196 LLK391056:LLK393196 LVG391056:LVG393196 MFC391056:MFC393196 MOY391056:MOY393196 MYU391056:MYU393196 NIQ391056:NIQ393196 NSM391056:NSM393196 OCI391056:OCI393196 OME391056:OME393196 OWA391056:OWA393196 PFW391056:PFW393196 PPS391056:PPS393196 PZO391056:PZO393196 QJK391056:QJK393196 QTG391056:QTG393196 RDC391056:RDC393196 RMY391056:RMY393196 RWU391056:RWU393196 SGQ391056:SGQ393196 SQM391056:SQM393196 TAI391056:TAI393196 TKE391056:TKE393196 TUA391056:TUA393196 UDW391056:UDW393196 UNS391056:UNS393196 UXO391056:UXO393196 VHK391056:VHK393196 VRG391056:VRG393196 WBC391056:WBC393196 WKY391056:WKY393196 WUU391056:WUU393196 II456592:II458732 SE456592:SE458732 ACA456592:ACA458732 ALW456592:ALW458732 AVS456592:AVS458732 BFO456592:BFO458732 BPK456592:BPK458732 BZG456592:BZG458732 CJC456592:CJC458732 CSY456592:CSY458732 DCU456592:DCU458732 DMQ456592:DMQ458732 DWM456592:DWM458732 EGI456592:EGI458732 EQE456592:EQE458732 FAA456592:FAA458732 FJW456592:FJW458732 FTS456592:FTS458732 GDO456592:GDO458732 GNK456592:GNK458732 GXG456592:GXG458732 HHC456592:HHC458732 HQY456592:HQY458732 IAU456592:IAU458732 IKQ456592:IKQ458732 IUM456592:IUM458732 JEI456592:JEI458732 JOE456592:JOE458732 JYA456592:JYA458732 KHW456592:KHW458732 KRS456592:KRS458732 LBO456592:LBO458732 LLK456592:LLK458732 LVG456592:LVG458732 MFC456592:MFC458732 MOY456592:MOY458732 MYU456592:MYU458732 NIQ456592:NIQ458732 NSM456592:NSM458732 OCI456592:OCI458732 OME456592:OME458732 OWA456592:OWA458732 PFW456592:PFW458732 PPS456592:PPS458732 PZO456592:PZO458732 QJK456592:QJK458732 QTG456592:QTG458732 RDC456592:RDC458732 RMY456592:RMY458732 RWU456592:RWU458732 SGQ456592:SGQ458732 SQM456592:SQM458732 TAI456592:TAI458732 TKE456592:TKE458732 TUA456592:TUA458732 UDW456592:UDW458732 UNS456592:UNS458732 UXO456592:UXO458732 VHK456592:VHK458732 VRG456592:VRG458732 WBC456592:WBC458732 WKY456592:WKY458732 WUU456592:WUU458732 II522128:II524268 SE522128:SE524268 ACA522128:ACA524268 ALW522128:ALW524268 AVS522128:AVS524268 BFO522128:BFO524268 BPK522128:BPK524268 BZG522128:BZG524268 CJC522128:CJC524268 CSY522128:CSY524268 DCU522128:DCU524268 DMQ522128:DMQ524268 DWM522128:DWM524268 EGI522128:EGI524268 EQE522128:EQE524268 FAA522128:FAA524268 FJW522128:FJW524268 FTS522128:FTS524268 GDO522128:GDO524268 GNK522128:GNK524268 GXG522128:GXG524268 HHC522128:HHC524268 HQY522128:HQY524268 IAU522128:IAU524268 IKQ522128:IKQ524268 IUM522128:IUM524268 JEI522128:JEI524268 JOE522128:JOE524268 JYA522128:JYA524268 KHW522128:KHW524268 KRS522128:KRS524268 LBO522128:LBO524268 LLK522128:LLK524268 LVG522128:LVG524268 MFC522128:MFC524268 MOY522128:MOY524268 MYU522128:MYU524268 NIQ522128:NIQ524268 NSM522128:NSM524268 OCI522128:OCI524268 OME522128:OME524268 OWA522128:OWA524268 PFW522128:PFW524268 PPS522128:PPS524268 PZO522128:PZO524268 QJK522128:QJK524268 QTG522128:QTG524268 RDC522128:RDC524268 RMY522128:RMY524268 RWU522128:RWU524268 SGQ522128:SGQ524268 SQM522128:SQM524268 TAI522128:TAI524268 TKE522128:TKE524268 TUA522128:TUA524268 UDW522128:UDW524268 UNS522128:UNS524268 UXO522128:UXO524268 VHK522128:VHK524268 VRG522128:VRG524268 WBC522128:WBC524268 WKY522128:WKY524268 WUU522128:WUU524268 II587664:II589804 SE587664:SE589804 ACA587664:ACA589804 ALW587664:ALW589804 AVS587664:AVS589804 BFO587664:BFO589804 BPK587664:BPK589804 BZG587664:BZG589804 CJC587664:CJC589804 CSY587664:CSY589804 DCU587664:DCU589804 DMQ587664:DMQ589804 DWM587664:DWM589804 EGI587664:EGI589804 EQE587664:EQE589804 FAA587664:FAA589804 FJW587664:FJW589804 FTS587664:FTS589804 GDO587664:GDO589804 GNK587664:GNK589804 GXG587664:GXG589804 HHC587664:HHC589804 HQY587664:HQY589804 IAU587664:IAU589804 IKQ587664:IKQ589804 IUM587664:IUM589804 JEI587664:JEI589804 JOE587664:JOE589804 JYA587664:JYA589804 KHW587664:KHW589804 KRS587664:KRS589804 LBO587664:LBO589804 LLK587664:LLK589804 LVG587664:LVG589804 MFC587664:MFC589804 MOY587664:MOY589804 MYU587664:MYU589804 NIQ587664:NIQ589804 NSM587664:NSM589804 OCI587664:OCI589804 OME587664:OME589804 OWA587664:OWA589804 PFW587664:PFW589804 PPS587664:PPS589804 PZO587664:PZO589804 QJK587664:QJK589804 QTG587664:QTG589804 RDC587664:RDC589804 RMY587664:RMY589804 RWU587664:RWU589804 SGQ587664:SGQ589804 SQM587664:SQM589804 TAI587664:TAI589804 TKE587664:TKE589804 TUA587664:TUA589804 UDW587664:UDW589804 UNS587664:UNS589804 UXO587664:UXO589804 VHK587664:VHK589804 VRG587664:VRG589804 WBC587664:WBC589804 WKY587664:WKY589804 WUU587664:WUU589804 II653200:II655340 SE653200:SE655340 ACA653200:ACA655340 ALW653200:ALW655340 AVS653200:AVS655340 BFO653200:BFO655340 BPK653200:BPK655340 BZG653200:BZG655340 CJC653200:CJC655340 CSY653200:CSY655340 DCU653200:DCU655340 DMQ653200:DMQ655340 DWM653200:DWM655340 EGI653200:EGI655340 EQE653200:EQE655340 FAA653200:FAA655340 FJW653200:FJW655340 FTS653200:FTS655340 GDO653200:GDO655340 GNK653200:GNK655340 GXG653200:GXG655340 HHC653200:HHC655340 HQY653200:HQY655340 IAU653200:IAU655340 IKQ653200:IKQ655340 IUM653200:IUM655340 JEI653200:JEI655340 JOE653200:JOE655340 JYA653200:JYA655340 KHW653200:KHW655340 KRS653200:KRS655340 LBO653200:LBO655340 LLK653200:LLK655340 LVG653200:LVG655340 MFC653200:MFC655340 MOY653200:MOY655340 MYU653200:MYU655340 NIQ653200:NIQ655340 NSM653200:NSM655340 OCI653200:OCI655340 OME653200:OME655340 OWA653200:OWA655340 PFW653200:PFW655340 PPS653200:PPS655340 PZO653200:PZO655340 QJK653200:QJK655340 QTG653200:QTG655340 RDC653200:RDC655340 RMY653200:RMY655340 RWU653200:RWU655340 SGQ653200:SGQ655340 SQM653200:SQM655340 TAI653200:TAI655340 TKE653200:TKE655340 TUA653200:TUA655340 UDW653200:UDW655340 UNS653200:UNS655340 UXO653200:UXO655340 VHK653200:VHK655340 VRG653200:VRG655340 WBC653200:WBC655340 WKY653200:WKY655340 WUU653200:WUU655340 II718736:II720876 SE718736:SE720876 ACA718736:ACA720876 ALW718736:ALW720876 AVS718736:AVS720876 BFO718736:BFO720876 BPK718736:BPK720876 BZG718736:BZG720876 CJC718736:CJC720876 CSY718736:CSY720876 DCU718736:DCU720876 DMQ718736:DMQ720876 DWM718736:DWM720876 EGI718736:EGI720876 EQE718736:EQE720876 FAA718736:FAA720876 FJW718736:FJW720876 FTS718736:FTS720876 GDO718736:GDO720876 GNK718736:GNK720876 GXG718736:GXG720876 HHC718736:HHC720876 HQY718736:HQY720876 IAU718736:IAU720876 IKQ718736:IKQ720876 IUM718736:IUM720876 JEI718736:JEI720876 JOE718736:JOE720876 JYA718736:JYA720876 KHW718736:KHW720876 KRS718736:KRS720876 LBO718736:LBO720876 LLK718736:LLK720876 LVG718736:LVG720876 MFC718736:MFC720876 MOY718736:MOY720876 MYU718736:MYU720876 NIQ718736:NIQ720876 NSM718736:NSM720876 OCI718736:OCI720876 OME718736:OME720876 OWA718736:OWA720876 PFW718736:PFW720876 PPS718736:PPS720876 PZO718736:PZO720876 QJK718736:QJK720876 QTG718736:QTG720876 RDC718736:RDC720876 RMY718736:RMY720876 RWU718736:RWU720876 SGQ718736:SGQ720876 SQM718736:SQM720876 TAI718736:TAI720876 TKE718736:TKE720876 TUA718736:TUA720876 UDW718736:UDW720876 UNS718736:UNS720876 UXO718736:UXO720876 VHK718736:VHK720876 VRG718736:VRG720876 WBC718736:WBC720876 WKY718736:WKY720876 WUU718736:WUU720876 II784272:II786412 SE784272:SE786412 ACA784272:ACA786412 ALW784272:ALW786412 AVS784272:AVS786412 BFO784272:BFO786412 BPK784272:BPK786412 BZG784272:BZG786412 CJC784272:CJC786412 CSY784272:CSY786412 DCU784272:DCU786412 DMQ784272:DMQ786412 DWM784272:DWM786412 EGI784272:EGI786412 EQE784272:EQE786412 FAA784272:FAA786412 FJW784272:FJW786412 FTS784272:FTS786412 GDO784272:GDO786412 GNK784272:GNK786412 GXG784272:GXG786412 HHC784272:HHC786412 HQY784272:HQY786412 IAU784272:IAU786412 IKQ784272:IKQ786412 IUM784272:IUM786412 JEI784272:JEI786412 JOE784272:JOE786412 JYA784272:JYA786412 KHW784272:KHW786412 KRS784272:KRS786412 LBO784272:LBO786412 LLK784272:LLK786412 LVG784272:LVG786412 MFC784272:MFC786412 MOY784272:MOY786412 MYU784272:MYU786412 NIQ784272:NIQ786412 NSM784272:NSM786412 OCI784272:OCI786412 OME784272:OME786412 OWA784272:OWA786412 PFW784272:PFW786412 PPS784272:PPS786412 PZO784272:PZO786412 QJK784272:QJK786412 QTG784272:QTG786412 RDC784272:RDC786412 RMY784272:RMY786412 RWU784272:RWU786412 SGQ784272:SGQ786412 SQM784272:SQM786412 TAI784272:TAI786412 TKE784272:TKE786412 TUA784272:TUA786412 UDW784272:UDW786412 UNS784272:UNS786412 UXO784272:UXO786412 VHK784272:VHK786412 VRG784272:VRG786412 WBC784272:WBC786412 WKY784272:WKY786412 WUU784272:WUU786412 II849808:II851948 SE849808:SE851948 ACA849808:ACA851948 ALW849808:ALW851948 AVS849808:AVS851948 BFO849808:BFO851948 BPK849808:BPK851948 BZG849808:BZG851948 CJC849808:CJC851948 CSY849808:CSY851948 DCU849808:DCU851948 DMQ849808:DMQ851948 DWM849808:DWM851948 EGI849808:EGI851948 EQE849808:EQE851948 FAA849808:FAA851948 FJW849808:FJW851948 FTS849808:FTS851948 GDO849808:GDO851948 GNK849808:GNK851948 GXG849808:GXG851948 HHC849808:HHC851948 HQY849808:HQY851948 IAU849808:IAU851948 IKQ849808:IKQ851948 IUM849808:IUM851948 JEI849808:JEI851948 JOE849808:JOE851948 JYA849808:JYA851948 KHW849808:KHW851948 KRS849808:KRS851948 LBO849808:LBO851948 LLK849808:LLK851948 LVG849808:LVG851948 MFC849808:MFC851948 MOY849808:MOY851948 MYU849808:MYU851948 NIQ849808:NIQ851948 NSM849808:NSM851948 OCI849808:OCI851948 OME849808:OME851948 OWA849808:OWA851948 PFW849808:PFW851948 PPS849808:PPS851948 PZO849808:PZO851948 QJK849808:QJK851948 QTG849808:QTG851948 RDC849808:RDC851948 RMY849808:RMY851948 RWU849808:RWU851948 SGQ849808:SGQ851948 SQM849808:SQM851948 TAI849808:TAI851948 TKE849808:TKE851948 TUA849808:TUA851948 UDW849808:UDW851948 UNS849808:UNS851948 UXO849808:UXO851948 VHK849808:VHK851948 VRG849808:VRG851948 WBC849808:WBC851948 WKY849808:WKY851948 WUU849808:WUU851948 II915344:II917484 SE915344:SE917484 ACA915344:ACA917484 ALW915344:ALW917484 AVS915344:AVS917484 BFO915344:BFO917484 BPK915344:BPK917484 BZG915344:BZG917484 CJC915344:CJC917484 CSY915344:CSY917484 DCU915344:DCU917484 DMQ915344:DMQ917484 DWM915344:DWM917484 EGI915344:EGI917484 EQE915344:EQE917484 FAA915344:FAA917484 FJW915344:FJW917484 FTS915344:FTS917484 GDO915344:GDO917484 GNK915344:GNK917484 GXG915344:GXG917484 HHC915344:HHC917484 HQY915344:HQY917484 IAU915344:IAU917484 IKQ915344:IKQ917484 IUM915344:IUM917484 JEI915344:JEI917484 JOE915344:JOE917484 JYA915344:JYA917484 KHW915344:KHW917484 KRS915344:KRS917484 LBO915344:LBO917484 LLK915344:LLK917484 LVG915344:LVG917484 MFC915344:MFC917484 MOY915344:MOY917484 MYU915344:MYU917484 NIQ915344:NIQ917484 NSM915344:NSM917484 OCI915344:OCI917484 OME915344:OME917484 OWA915344:OWA917484 PFW915344:PFW917484 PPS915344:PPS917484 PZO915344:PZO917484 QJK915344:QJK917484 QTG915344:QTG917484 RDC915344:RDC917484 RMY915344:RMY917484 RWU915344:RWU917484 SGQ915344:SGQ917484 SQM915344:SQM917484 TAI915344:TAI917484 TKE915344:TKE917484 TUA915344:TUA917484 UDW915344:UDW917484 UNS915344:UNS917484 UXO915344:UXO917484 VHK915344:VHK917484 VRG915344:VRG917484 WBC915344:WBC917484 WKY915344:WKY917484 WUU915344:WUU917484 II980880:II983020 SE980880:SE983020 ACA980880:ACA983020 ALW980880:ALW983020 AVS980880:AVS983020 BFO980880:BFO983020 BPK980880:BPK983020 BZG980880:BZG983020 CJC980880:CJC983020 CSY980880:CSY983020 DCU980880:DCU983020 DMQ980880:DMQ983020 DWM980880:DWM983020 EGI980880:EGI983020 EQE980880:EQE983020 FAA980880:FAA983020 FJW980880:FJW983020 FTS980880:FTS983020 GDO980880:GDO983020 GNK980880:GNK983020 GXG980880:GXG983020 HHC980880:HHC983020 HQY980880:HQY983020 IAU980880:IAU983020 IKQ980880:IKQ983020 IUM980880:IUM983020 JEI980880:JEI983020 JOE980880:JOE983020 JYA980880:JYA983020 KHW980880:KHW983020 KRS980880:KRS983020 LBO980880:LBO983020 LLK980880:LLK983020 LVG980880:LVG983020 MFC980880:MFC983020 MOY980880:MOY983020 MYU980880:MYU983020 NIQ980880:NIQ983020 NSM980880:NSM983020 OCI980880:OCI983020 OME980880:OME983020 OWA980880:OWA983020 PFW980880:PFW983020 PPS980880:PPS983020 PZO980880:PZO983020 QJK980880:QJK983020 QTG980880:QTG983020 RDC980880:RDC983020 RMY980880:RMY983020 RWU980880:RWU983020 SGQ980880:SGQ983020 SQM980880:SQM983020 TAI980880:TAI983020 TKE980880:TKE983020 TUA980880:TUA983020 UDW980880:UDW983020 UNS980880:UNS983020 UXO980880:UXO983020 VHK980880:VHK983020 VRG980880:VRG983020 WBC980880:WBC983020 WKY980880:WKY983020" xr:uid="{913D3E28-1C09-4158-8CF8-62F5EFA4DDE9}">
      <formula1>PRIORIDAD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2" orientation="landscape"/>
  <colBreaks count="1" manualBreakCount="1">
    <brk id="17" max="51" man="1"/>
  </colBreaks>
  <drawing r:id="rId2"/>
</worksheet>
</file>